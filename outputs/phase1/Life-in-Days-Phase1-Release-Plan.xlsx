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4019b9832344c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 Summary" sheetId="1" r:id="R92297ad843274b15"/>
    <x:sheet xmlns:r="http://schemas.openxmlformats.org/officeDocument/2006/relationships" name="Release Plan" sheetId="2" r:id="Rf4fa7b0c66ec4a83"/>
    <x:sheet xmlns:r="http://schemas.openxmlformats.org/officeDocument/2006/relationships" name="Roadmap Tasks" sheetId="3" r:id="R8ecefcc207604c33"/>
    <x:sheet xmlns:r="http://schemas.openxmlformats.org/officeDocument/2006/relationships" name="Roadmap Timeline" sheetId="4" r:id="Ra3f85d9962134f6a"/>
    <x:sheet xmlns:r="http://schemas.openxmlformats.org/officeDocument/2006/relationships" name="Requirement Map" sheetId="5" r:id="R156ede151ba74d5c"/>
    <x:sheet xmlns:r="http://schemas.openxmlformats.org/officeDocument/2006/relationships" name="Risks &amp; Gates" sheetId="6" r:id="R7c9d8258b75f43b0"/>
    <x:sheet xmlns:r="http://schemas.openxmlformats.org/officeDocument/2006/relationships" name="Review Guide" sheetId="7" r:id="R229d7962ea11448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%"/>
    <x:numFmt numFmtId="201" formatCode="yyyy-mm-dd"/>
    <x:numFmt numFmtId="202" formatCode="dd-mmm"/>
  </x:numFmts>
  <x:fonts count="10">
    <x:font>
      <x:sz val="11"/>
      <x:name val="Carlito"/>
    </x:font>
    <x:font>
      <x:b/>
      <x:sz val="20"/>
      <x:color rgb="FFFFFFFF"/>
      <x:name val="Carlito"/>
    </x:font>
    <x:font>
      <x:i/>
      <x:sz val="10"/>
      <x:color rgb="FF0F172A"/>
      <x:name val="Carlito"/>
    </x:font>
    <x:font>
      <x:b/>
      <x:sz val="10"/>
      <x:color rgb="FFFFFFFF"/>
      <x:name val="Carlito"/>
    </x:font>
    <x:font>
      <x:sz val="9"/>
      <x:color rgb="FF0F172A"/>
      <x:name val="Carlito"/>
    </x:font>
    <x:font>
      <x:b/>
      <x:sz val="9"/>
      <x:color rgb="FFB91C1C"/>
      <x:name val="Carlito"/>
    </x:font>
    <x:font>
      <x:b/>
      <x:sz val="9"/>
      <x:color rgb="FFB45309"/>
      <x:name val="Carlito"/>
    </x:font>
    <x:font>
      <x:b/>
      <x:sz val="12"/>
      <x:color rgb="FFFFFFFF"/>
      <x:name val="Carlito"/>
    </x:font>
    <x:font>
      <x:b/>
      <x:sz val="9"/>
      <x:color rgb="FF0F766E"/>
      <x:name val="Carlito"/>
    </x:font>
    <x:font>
      <x:b/>
      <x:sz val="9"/>
      <x:color rgb="FF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CCFBF1"/>
      </x:patternFill>
    </x:fill>
    <x:fill>
      <x:patternFill patternType="solid">
        <x:fgColor rgb="FF0F766E"/>
      </x:patternFill>
    </x:fill>
    <x:fill>
      <x:patternFill patternType="solid">
        <x:fgColor rgb="FFFEE2E2"/>
      </x:patternFill>
    </x:fill>
    <x:fill>
      <x:patternFill patternType="solid">
        <x:fgColor rgb="FFFEF3C7"/>
      </x:patternFill>
    </x:fill>
    <x:fill>
      <x:patternFill patternType="solid">
        <x:fgColor rgb="FF334155"/>
      </x:patternFill>
    </x:fill>
  </x:fills>
  <x:borders count="6">
    <x:border/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E2E8F0"/>
      </x:bottom>
    </x:border>
  </x:borders>
  <x:cellStyleXfs count="1">
    <x:xf numFmtId="0" fontId="0" fillId="0" borderId="0"/>
  </x:cellStyleXfs>
  <x:cellXfs count="4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2" fillId="3" borderId="2" xfId="0" applyNumberFormat="1" applyFont="1" applyFill="1" applyBorder="1" applyAlignment="1">
      <x:alignment vertical="center" wrapText="1"/>
    </x:xf>
    <x:xf numFmtId="0" fontId="2" fillId="3" borderId="3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4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horizontal="left" wrapText="1"/>
    </x:xf>
    <x:xf numFmtId="0" fontId="3" fillId="4" borderId="4" xfId="0" applyNumberFormat="1" applyFont="1" applyFill="1" applyBorder="1" applyAlignment="1">
      <x:alignment horizontal="left" vertical="center" wrapText="1"/>
    </x:xf>
    <x:xf numFmtId="0" fontId="4" fillId="0" borderId="0" xfId="0" applyNumberFormat="1" applyFont="1" applyFill="1" applyBorder="1"/>
    <x:xf numFmtId="0" fontId="4" fillId="0" borderId="4" xfId="0" applyNumberFormat="1" applyFont="1" applyFill="1" applyBorder="1"/>
    <x:xf numFmtId="0" fontId="4" fillId="0" borderId="4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5" borderId="4" xfId="0" applyNumberFormat="1" applyFont="1" applyFill="1" applyBorder="1" applyAlignment="1">
      <x:alignment vertical="top" wrapText="1"/>
    </x:xf>
    <x:xf numFmtId="0" fontId="5" fillId="5" borderId="4" xfId="0" applyNumberFormat="1" applyFont="1" applyFill="1" applyBorder="1" applyAlignment="1">
      <x:alignment vertical="top" wrapText="1"/>
    </x:xf>
    <x:xf numFmtId="0" fontId="4" fillId="6" borderId="4" xfId="0" applyNumberFormat="1" applyFont="1" applyFill="1" applyBorder="1" applyAlignment="1">
      <x:alignment vertical="top" wrapText="1"/>
    </x:xf>
    <x:xf numFmtId="0" fontId="6" fillId="6" borderId="4" xfId="0" applyNumberFormat="1" applyFont="1" applyFill="1" applyBorder="1" applyAlignment="1">
      <x:alignment vertical="top" wrapText="1"/>
    </x:xf>
    <x:xf numFmtId="200" fontId="4" fillId="0" borderId="4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201" fontId="4" fillId="0" borderId="4" xfId="0" applyNumberFormat="1" applyFont="1" applyFill="1" applyBorder="1" applyAlignment="1">
      <x:alignment vertical="top" wrapText="1"/>
    </x:xf>
    <x:xf numFmtId="201" fontId="4" fillId="0" borderId="4" xfId="0" applyNumberFormat="1" applyFont="1" applyFill="1" applyBorder="1" applyAlignment="1">
      <x:alignment horizontal="center" vertical="top" wrapText="1"/>
    </x:xf>
    <x:xf numFmtId="0" fontId="8" fillId="0" borderId="4" xfId="0" applyNumberFormat="1" applyFont="1" applyFill="1" applyBorder="1" applyAlignment="1">
      <x:alignment vertical="top" wrapText="1"/>
    </x:xf>
    <x:xf numFmtId="0" fontId="3" fillId="4" borderId="4" xfId="0" applyNumberFormat="1" applyFont="1" applyFill="1" applyBorder="1" applyAlignment="1">
      <x:alignment horizontal="left" vertical="top" wrapText="1"/>
    </x:xf>
    <x:xf numFmtId="0" fontId="0" fillId="0" borderId="0" xfId="0" applyNumberFormat="1" applyFont="1" applyFill="1" applyBorder="1" applyAlignment="1">
      <x:alignment vertical="top"/>
    </x:xf>
    <x:xf numFmtId="0" fontId="7" fillId="7" borderId="0" xfId="0" applyNumberFormat="1" applyFont="1" applyFill="1" applyBorder="1" applyAlignment="1">
      <x:alignment vertical="top"/>
    </x:xf>
    <x:xf numFmtId="0" fontId="4" fillId="3" borderId="4" xfId="0" applyNumberFormat="1" applyFont="1" applyFill="1" applyBorder="1" applyAlignment="1">
      <x:alignment vertical="top" wrapText="1"/>
    </x:xf>
    <x:xf numFmtId="0" fontId="8" fillId="3" borderId="4" xfId="0" applyNumberFormat="1" applyFont="1" applyFill="1" applyBorder="1" applyAlignment="1">
      <x:alignment vertical="top" wrapText="1"/>
    </x:xf>
    <x:xf numFmtId="202" fontId="3" fillId="4" borderId="4" xfId="0" applyNumberFormat="1" applyFont="1" applyFill="1" applyBorder="1" applyAlignment="1">
      <x:alignment horizontal="left" vertical="center" wrapText="1"/>
    </x:xf>
    <x:xf numFmtId="0" fontId="9" fillId="0" borderId="0" xfId="0" applyNumberFormat="1" applyFont="1" applyFill="1" applyBorder="1"/>
    <x:xf numFmtId="0" fontId="9" fillId="0" borderId="5" xfId="0" applyNumberFormat="1" applyFont="1" applyFill="1" applyBorder="1"/>
    <x:xf numFmtId="0" fontId="9" fillId="0" borderId="5" xfId="0" applyNumberFormat="1" applyFont="1" applyFill="1" applyBorder="1" applyAlignment="1">
      <x:alignment horizontal="center"/>
    </x:xf>
    <x:xf numFmtId="0" fontId="9" fillId="0" borderId="5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28">
    <x:dxf>
      <x:font>
        <x:color rgb="FF334155"/>
      </x:font>
      <x:fill>
        <x:patternFill patternType="solid">
          <x:bgColor rgb="FFF8FAFC"/>
        </x:patternFill>
      </x:fill>
    </x:dxf>
    <x:dxf>
      <x:font>
        <x:b/>
        <x:color rgb="FF2563EB"/>
      </x:font>
      <x:fill>
        <x:patternFill patternType="solid">
          <x:bgColor rgb="FFDBEAFE"/>
        </x:patternFill>
      </x:fill>
    </x:dxf>
    <x:dxf>
      <x:font>
        <x:b/>
        <x:color rgb="FFB45309"/>
      </x:font>
      <x:fill>
        <x:patternFill patternType="solid">
          <x:bgColor rgb="FFFEF3C7"/>
        </x:patternFill>
      </x:fill>
    </x:dxf>
    <x:dxf>
      <x:font>
        <x:b/>
        <x:color rgb="FF15803D"/>
      </x:font>
      <x:fill>
        <x:patternFill patternType="solid">
          <x:bgColor rgb="FFDCFCE7"/>
        </x:patternFill>
      </x:fill>
    </x:dxf>
    <x:dxf>
      <x:font>
        <x:color rgb="FF334155"/>
      </x:font>
      <x:fill>
        <x:patternFill patternType="solid">
          <x:bgColor rgb="FFF8FAFC"/>
        </x:patternFill>
      </x:fill>
    </x:dxf>
    <x:dxf>
      <x:font>
        <x:b/>
        <x:color rgb="FF2563EB"/>
      </x:font>
      <x:fill>
        <x:patternFill patternType="solid">
          <x:bgColor rgb="FFDBEAFE"/>
        </x:patternFill>
      </x:fill>
    </x:dxf>
    <x:dxf>
      <x:font>
        <x:b/>
        <x:color rgb="FFB45309"/>
      </x:font>
      <x:fill>
        <x:patternFill patternType="solid">
          <x:bgColor rgb="FFFEF3C7"/>
        </x:patternFill>
      </x:fill>
    </x:dxf>
    <x:dxf>
      <x:font>
        <x:b/>
        <x:color rgb="FF15803D"/>
      </x:font>
      <x:fill>
        <x:patternFill patternType="solid">
          <x:bgColor rgb="FFDCFCE7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15803D"/>
      </x:font>
      <x:fill>
        <x:patternFill patternType="solid">
          <x:bgColor rgb="FFDCFCE7"/>
        </x:patternFill>
      </x:fill>
    </x:dxf>
    <x:dxf>
      <x:font>
        <x:b/>
        <x:color rgb="FF15803D"/>
      </x:font>
      <x:fill>
        <x:patternFill patternType="solid">
          <x:bgColor rgb="FFDCFCE7"/>
        </x:patternFill>
      </x:fill>
    </x:dxf>
    <x:dxf>
      <x:font>
        <x:b/>
        <x:color rgb="FFB45309"/>
      </x:font>
      <x:fill>
        <x:patternFill patternType="solid">
          <x:bgColor rgb="FFFEF3C7"/>
        </x:patternFill>
      </x:fill>
    </x:dxf>
    <x:dxf>
      <x:font>
        <x:color rgb="FF94A3B8"/>
      </x:font>
      <x:fill>
        <x:patternFill patternType="solid">
          <x:bgColor rgb="FF94A3B8"/>
        </x:patternFill>
      </x:fill>
    </x:dxf>
    <x:dxf>
      <x:font>
        <x:color rgb="FF2563EB"/>
      </x:font>
      <x:fill>
        <x:patternFill patternType="solid">
          <x:bgColor rgb="FF2563EB"/>
        </x:patternFill>
      </x:fill>
    </x:dxf>
    <x:dxf>
      <x:font>
        <x:color rgb="FFF59E0B"/>
      </x:font>
      <x:fill>
        <x:patternFill patternType="solid">
          <x:bgColor rgb="FFF59E0B"/>
        </x:patternFill>
      </x:fill>
    </x:dxf>
    <x:dxf>
      <x:font>
        <x:color rgb="FF22C55E"/>
      </x:font>
      <x:fill>
        <x:patternFill patternType="solid">
          <x:bgColor rgb="FF22C55E"/>
        </x:patternFill>
      </x:fill>
    </x:dxf>
    <x:dxf>
      <x:font>
        <x:color rgb="FF334155"/>
      </x:font>
      <x:fill>
        <x:patternFill patternType="solid">
          <x:bgColor rgb="FFF8FAFC"/>
        </x:patternFill>
      </x:fill>
    </x:dxf>
    <x:dxf>
      <x:font>
        <x:b/>
        <x:color rgb="FF2563EB"/>
      </x:font>
      <x:fill>
        <x:patternFill patternType="solid">
          <x:bgColor rgb="FFDBEAFE"/>
        </x:patternFill>
      </x:fill>
    </x:dxf>
    <x:dxf>
      <x:font>
        <x:b/>
        <x:color rgb="FFB45309"/>
      </x:font>
      <x:fill>
        <x:patternFill patternType="solid">
          <x:bgColor rgb="FFFEF3C7"/>
        </x:patternFill>
      </x:fill>
    </x:dxf>
    <x:dxf>
      <x:font>
        <x:b/>
        <x:color rgb="FF15803D"/>
      </x:font>
      <x:fill>
        <x:patternFill patternType="solid">
          <x:bgColor rgb="FFDCFCE7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15803D"/>
      </x:font>
      <x:fill>
        <x:patternFill patternType="solid">
          <x:bgColor rgb="FFDCFCE7"/>
        </x:patternFill>
      </x:fill>
    </x:dxf>
    <x:dxf>
      <x:font>
        <x:b/>
        <x:color rgb="FF15803D"/>
      </x:font>
      <x:fill>
        <x:patternFill patternType="solid">
          <x:bgColor rgb="FFDCFCE7"/>
        </x:patternFill>
      </x:fill>
    </x:dxf>
    <x:dxf>
      <x:font>
        <x:b/>
        <x:color rgb="FFB45309"/>
      </x:font>
      <x:fill>
        <x:patternFill patternType="solid">
          <x:bgColor rgb="FFFEF3C7"/>
        </x:patternFill>
      </x:fill>
    </x:dxf>
    <x:dxf>
      <x:font>
        <x:b/>
        <x:color rgb="FF7C3AED"/>
      </x:font>
      <x:fill>
        <x:patternFill patternType="solid">
          <x:bgColor rgb="FFEDE9FE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B45309"/>
      </x:font>
      <x:fill>
        <x:patternFill patternType="solid">
          <x:bgColor rgb="FFFEF3C7"/>
        </x:patternFill>
      </x:fill>
    </x:dxf>
    <x:dxf>
      <x:font>
        <x:b/>
        <x:color rgb="FF2563EB"/>
      </x:font>
      <x:fill>
        <x:patternFill patternType="solid">
          <x:bgColor rgb="FFDBEAF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49b12198e3c4893" /><Relationship Type="http://schemas.openxmlformats.org/officeDocument/2006/relationships/theme" Target="/xl/theme/theme1.xml" Id="Rf7a11cbd42e94526" /><Relationship Type="http://schemas.openxmlformats.org/officeDocument/2006/relationships/sharedStrings" Target="/xl/sharedStrings.xml" Id="Reeedf3b874e64478" /><Relationship Type="http://schemas.openxmlformats.org/officeDocument/2006/relationships/worksheet" Target="/xl/worksheets/sheet1.xml" Id="R92297ad843274b15" /><Relationship Type="http://schemas.openxmlformats.org/officeDocument/2006/relationships/worksheet" Target="/xl/worksheets/sheet2.xml" Id="Rf4fa7b0c66ec4a83" /><Relationship Type="http://schemas.openxmlformats.org/officeDocument/2006/relationships/worksheet" Target="/xl/worksheets/sheet3.xml" Id="R8ecefcc207604c33" /><Relationship Type="http://schemas.openxmlformats.org/officeDocument/2006/relationships/worksheet" Target="/xl/worksheets/sheet4.xml" Id="Ra3f85d9962134f6a" /><Relationship Type="http://schemas.openxmlformats.org/officeDocument/2006/relationships/worksheet" Target="/xl/worksheets/sheet5.xml" Id="R156ede151ba74d5c" /><Relationship Type="http://schemas.openxmlformats.org/officeDocument/2006/relationships/worksheet" Target="/xl/worksheets/sheet6.xml" Id="R7c9d8258b75f43b0" /><Relationship Type="http://schemas.openxmlformats.org/officeDocument/2006/relationships/worksheet" Target="/xl/worksheets/sheet7.xml" Id="R229d7962ea11448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b78ab0ff05343cd" /><Relationship Type="http://schemas.openxmlformats.org/officeDocument/2006/relationships/chart" Target="/xl/drawings/charts/chart2.xml" Id="R512579fd21474dc6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Tasks by status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Tasks</c:v>
          </c:tx>
          <c:cat>
            <c:strRef>
              <c:f>'Executive Summary'!$K$6:$K$9</c:f>
              <c:strCache>
                <c:ptCount val="0"/>
              </c:strCache>
            </c:strRef>
          </c:cat>
          <c:val>
            <c:numRef>
              <c:f>'Executive Summary'!$L$6:$L$9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Tasks by milestone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Tasks</c:v>
          </c:tx>
          <c:cat>
            <c:strRef>
              <c:f>'Executive Summary'!$K$13:$K$24</c:f>
              <c:strCache>
                <c:ptCount val="0"/>
              </c:strCache>
            </c:strRef>
          </c:cat>
          <c:val>
            <c:numRef>
              <c:f>'Executive Summary'!$L$13:$L$24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13</xdr:col>
      <xdr:colOff>0</xdr:colOff>
      <xdr:row>4</xdr:row>
      <xdr:rowOff>0</xdr:rowOff>
    </xdr:from>
    <xdr:to>
      <xdr:col>21</xdr:col>
      <xdr:colOff>0</xdr:colOff>
      <xdr:row>14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b78ab0ff05343cd"/>
        </a:graphicData>
      </a:graphic>
    </xdr:graphicFrame>
    <xdr:clientData/>
  </xdr:twoCellAnchor>
  <xdr:twoCellAnchor>
    <xdr:from>
      <xdr:col>13</xdr:col>
      <xdr:colOff>0</xdr:colOff>
      <xdr:row>15</xdr:row>
      <xdr:rowOff>0</xdr:rowOff>
    </xdr:from>
    <xdr:to>
      <xdr:col>21</xdr:col>
      <xdr:colOff>0</xdr:colOff>
      <xdr:row>30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12579fd21474dc6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ReleasePlanTable" displayName="ReleasePlanTable" ref="A5:L17" headerRowCount="1" totalsRowCount="0" totalsRowShown="0">
  <x:tableColumns count="12">
    <x:tableColumn id="1" name="Milestone"/>
    <x:tableColumn id="2" name="Release"/>
    <x:tableColumn id="3" name="Start"/>
    <x:tableColumn id="4" name="Target"/>
    <x:tableColumn id="5" name="Days"/>
    <x:tableColumn id="6" name="Meaningful outcome"/>
    <x:tableColumn id="7" name="Exit evidence"/>
    <x:tableColumn id="8" name="Entry dependency"/>
    <x:tableColumn id="9" name="Date basis"/>
    <x:tableColumn id="10" name="Tasks"/>
    <x:tableColumn id="11" name="Dossiers Ready"/>
    <x:tableColumn id="12" name="Execution allowed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oadmapTasksTable" displayName="RoadmapTasksTable" ref="A5:AC63" headerRowCount="1" totalsRowCount="0" totalsRowShown="0">
  <x:tableColumns count="29">
    <x:tableColumn id="1" name="ID"/>
    <x:tableColumn id="2" name="Title"/>
    <x:tableColumn id="3" name="Status"/>
    <x:tableColumn id="4" name="Artifact readiness"/>
    <x:tableColumn id="5" name="Execution allowed"/>
    <x:tableColumn id="6" name="Execution scope"/>
    <x:tableColumn id="7" name="Milestone"/>
    <x:tableColumn id="8" name="Type"/>
    <x:tableColumn id="9" name="Owner role"/>
    <x:tableColumn id="10" name="Priority"/>
    <x:tableColumn id="11" name="Start"/>
    <x:tableColumn id="12" name="Target"/>
    <x:tableColumn id="13" name="Days"/>
    <x:tableColumn id="14" name="Requirement IDs"/>
    <x:tableColumn id="15" name="Dependencies"/>
    <x:tableColumn id="16" name="Parent PRD / PID"/>
    <x:tableColumn id="17" name="Task PRD"/>
    <x:tableColumn id="18" name="Task technical plan"/>
    <x:tableColumn id="19" name="Task design spec"/>
    <x:tableColumn id="20" name="Task QA plan"/>
    <x:tableColumn id="21" name="Task delivery checklist"/>
    <x:tableColumn id="22" name="Task council readiness"/>
    <x:tableColumn id="23" name="Shared design input"/>
    <x:tableColumn id="24" name="Shared architecture input"/>
    <x:tableColumn id="25" name="Description"/>
    <x:tableColumn id="26" name="Acceptance evidence"/>
    <x:tableColumn id="27" name="Rollback / restore impact"/>
    <x:tableColumn id="28" name="Done meaning"/>
    <x:tableColumn id="29" name="GitHub issu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equirementMapTable" displayName="RequirementMapTable" ref="A5:F83" headerRowCount="1" totalsRowCount="0" totalsRowShown="0">
  <x:tableColumns count="6">
    <x:tableColumn id="1" name="Requirement ID"/>
    <x:tableColumn id="2" name="Primary milestone"/>
    <x:tableColumn id="3" name="Roadmap task IDs"/>
    <x:tableColumn id="4" name="Disposition"/>
    <x:tableColumn id="5" name="Rationale"/>
    <x:tableColumn id="6" name="Task coun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e2c39fd724b84fb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4f062ee2554485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7b930fcc9d2407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f3090552eaa047d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2" hidden="0" customWidth="1"/>
    <x:col min="3" max="3" width="13" hidden="0" customWidth="1"/>
    <x:col min="4" max="4" width="13" hidden="0" customWidth="1"/>
    <x:col min="5" max="5" width="42" hidden="0" customWidth="1"/>
    <x:col min="6" max="6" width="34" hidden="0" customWidth="1"/>
    <x:col min="7" max="7" width="10" hidden="0" customWidth="1"/>
    <x:col min="8" max="8" width="24" hidden="0" customWidth="1"/>
    <x:col min="11" max="11" width="18" hidden="0" customWidth="1"/>
    <x:col min="12" max="12" width="10" hidden="0" customWidth="1"/>
  </x:cols>
  <x:sheetData>
    <x:row r="1" ht="28" customHeight="1">
      <x:c r="A1" s="5" t="str">
        <x:v>Life in Days — Phase 1 Release Plan</x:v>
      </x:c>
      <x:c r="B1" s="5" t="str">
        <x:v>Life in Days — Phase 1 Release Plan</x:v>
      </x:c>
      <x:c r="C1" s="5" t="str">
        <x:v>Life in Days — Phase 1 Release Plan</x:v>
      </x:c>
      <x:c r="D1" s="5" t="str">
        <x:v>Life in Days — Phase 1 Release Plan</x:v>
      </x:c>
      <x:c r="E1" s="5" t="str">
        <x:v>Life in Days — Phase 1 Release Plan</x:v>
      </x:c>
      <x:c r="F1" s="5" t="str">
        <x:v>Life in Days — Phase 1 Release Plan</x:v>
      </x:c>
      <x:c r="G1" s="5" t="str">
        <x:v>Life in Days — Phase 1 Release Plan</x:v>
      </x:c>
      <x:c r="H1" s="5" t="str">
        <x:v>Life in Days — Phase 1 Release Plan</x:v>
      </x:c>
      <x:c r="I1" s="5" t="str">
        <x:v>Life in Days — Phase 1 Release Plan</x:v>
      </x:c>
      <x:c r="J1" s="5" t="str">
        <x:v>Life in Days — Phase 1 Release Plan</x:v>
      </x:c>
      <x:c r="K1" s="5" t="str">
        <x:v>Life in Days — Phase 1 Release Plan</x:v>
      </x:c>
      <x:c r="L1" s="5" t="str">
        <x:v>Life in Days — Phase 1 Release Plan</x:v>
      </x:c>
      <x:c r="M1" s="5" t="str">
        <x:v>Life in Days — Phase 1 Release Plan</x:v>
      </x:c>
      <x:c r="N1" s="5" t="str">
        <x:v>Life in Days — Phase 1 Release Plan</x:v>
      </x:c>
      <x:c r="O1" s="5" t="str">
        <x:v>Life in Days — Phase 1 Release Plan</x:v>
      </x:c>
      <x:c r="P1" s="5" t="str">
        <x:v>Life in Days — Phase 1 Release Plan</x:v>
      </x:c>
      <x:c r="Q1" s="5" t="str">
        <x:v>Life in Days — Phase 1 Release Plan</x:v>
      </x:c>
      <x:c r="R1" s="5" t="str">
        <x:v>Life in Days — Phase 1 Release Plan</x:v>
      </x:c>
      <x:c r="S1" s="5" t="str">
        <x:v>Life in Days — Phase 1 Release Plan</x:v>
      </x:c>
      <x:c r="T1" s="5" t="str">
        <x:v>Life in Days — Phase 1 Release Plan</x:v>
      </x:c>
      <x:c r="U1" s="5" t="str">
        <x:v>Life in Days — Phase 1 Release Plan</x:v>
      </x:c>
    </x:row>
    <x:row r="2" ht="28" customHeight="1">
      <x:c r="A2" s="5" t="str">
        <x:v>Life in Days — Phase 1 Release Plan</x:v>
      </x:c>
      <x:c r="B2" s="5" t="str">
        <x:v>Life in Days — Phase 1 Release Plan</x:v>
      </x:c>
      <x:c r="C2" s="5" t="str">
        <x:v>Life in Days — Phase 1 Release Plan</x:v>
      </x:c>
      <x:c r="D2" s="5" t="str">
        <x:v>Life in Days — Phase 1 Release Plan</x:v>
      </x:c>
      <x:c r="E2" s="5" t="str">
        <x:v>Life in Days — Phase 1 Release Plan</x:v>
      </x:c>
      <x:c r="F2" s="5" t="str">
        <x:v>Life in Days — Phase 1 Release Plan</x:v>
      </x:c>
      <x:c r="G2" s="5" t="str">
        <x:v>Life in Days — Phase 1 Release Plan</x:v>
      </x:c>
      <x:c r="H2" s="5" t="str">
        <x:v>Life in Days — Phase 1 Release Plan</x:v>
      </x:c>
      <x:c r="I2" s="5" t="str">
        <x:v>Life in Days — Phase 1 Release Plan</x:v>
      </x:c>
      <x:c r="J2" s="5" t="str">
        <x:v>Life in Days — Phase 1 Release Plan</x:v>
      </x:c>
      <x:c r="K2" s="5" t="str">
        <x:v>Life in Days — Phase 1 Release Plan</x:v>
      </x:c>
      <x:c r="L2" s="5" t="str">
        <x:v>Life in Days — Phase 1 Release Plan</x:v>
      </x:c>
      <x:c r="M2" s="5" t="str">
        <x:v>Life in Days — Phase 1 Release Plan</x:v>
      </x:c>
      <x:c r="N2" s="5" t="str">
        <x:v>Life in Days — Phase 1 Release Plan</x:v>
      </x:c>
      <x:c r="O2" s="5" t="str">
        <x:v>Life in Days — Phase 1 Release Plan</x:v>
      </x:c>
      <x:c r="P2" s="5" t="str">
        <x:v>Life in Days — Phase 1 Release Plan</x:v>
      </x:c>
      <x:c r="Q2" s="5" t="str">
        <x:v>Life in Days — Phase 1 Release Plan</x:v>
      </x:c>
      <x:c r="R2" s="5" t="str">
        <x:v>Life in Days — Phase 1 Release Plan</x:v>
      </x:c>
      <x:c r="S2" s="5" t="str">
        <x:v>Life in Days — Phase 1 Release Plan</x:v>
      </x:c>
      <x:c r="T2" s="5" t="str">
        <x:v>Life in Days — Phase 1 Release Plan</x:v>
      </x:c>
      <x:c r="U2" s="5" t="str">
        <x:v>Life in Days — Phase 1 Release Plan</x:v>
      </x:c>
    </x:row>
    <x:row r="3" ht="34" customHeight="1">
      <x:c r="A3" s="14" t="str">
        <x:v>Review workbook generated from PHASE1-ROADMAP-MANIFEST.json on 2026-08-16. Current readiness: 58 Incomplete; 45 Hold + 13 Historical non-authorizing; 0 Ready; 0 execution-allowed. Dates are estimates; evidence gates control delivery.</x:v>
      </x:c>
      <x:c r="B3" s="15" t="str">
        <x:v>Review workbook generated from PHASE1-ROADMAP-MANIFEST.json on 2026-08-16. Current readiness: 58 Incomplete; 45 Hold + 13 Historical non-authorizing; 0 Ready; 0 execution-allowed. Dates are estimates; evidence gates control delivery.</x:v>
      </x:c>
      <x:c r="C3" s="15" t="str">
        <x:v>Review workbook generated from PHASE1-ROADMAP-MANIFEST.json on 2026-08-16. Current readiness: 58 Incomplete; 45 Hold + 13 Historical non-authorizing; 0 Ready; 0 execution-allowed. Dates are estimates; evidence gates control delivery.</x:v>
      </x:c>
      <x:c r="D3" s="15" t="str">
        <x:v>Review workbook generated from PHASE1-ROADMAP-MANIFEST.json on 2026-08-16. Current readiness: 58 Incomplete; 45 Hold + 13 Historical non-authorizing; 0 Ready; 0 execution-allowed. Dates are estimates; evidence gates control delivery.</x:v>
      </x:c>
      <x:c r="E3" s="15" t="str">
        <x:v>Review workbook generated from PHASE1-ROADMAP-MANIFEST.json on 2026-08-16. Current readiness: 58 Incomplete; 45 Hold + 13 Historical non-authorizing; 0 Ready; 0 execution-allowed. Dates are estimates; evidence gates control delivery.</x:v>
      </x:c>
      <x:c r="F3" s="15" t="str">
        <x:v>Review workbook generated from PHASE1-ROADMAP-MANIFEST.json on 2026-08-16. Current readiness: 58 Incomplete; 45 Hold + 13 Historical non-authorizing; 0 Ready; 0 execution-allowed. Dates are estimates; evidence gates control delivery.</x:v>
      </x:c>
      <x:c r="G3" s="15" t="str">
        <x:v>Review workbook generated from PHASE1-ROADMAP-MANIFEST.json on 2026-08-16. Current readiness: 58 Incomplete; 45 Hold + 13 Historical non-authorizing; 0 Ready; 0 execution-allowed. Dates are estimates; evidence gates control delivery.</x:v>
      </x:c>
      <x:c r="H3" s="15" t="str">
        <x:v>Review workbook generated from PHASE1-ROADMAP-MANIFEST.json on 2026-08-16. Current readiness: 58 Incomplete; 45 Hold + 13 Historical non-authorizing; 0 Ready; 0 execution-allowed. Dates are estimates; evidence gates control delivery.</x:v>
      </x:c>
      <x:c r="I3" s="15" t="str">
        <x:v>Review workbook generated from PHASE1-ROADMAP-MANIFEST.json on 2026-08-16. Current readiness: 58 Incomplete; 45 Hold + 13 Historical non-authorizing; 0 Ready; 0 execution-allowed. Dates are estimates; evidence gates control delivery.</x:v>
      </x:c>
      <x:c r="J3" s="15" t="str">
        <x:v>Review workbook generated from PHASE1-ROADMAP-MANIFEST.json on 2026-08-16. Current readiness: 58 Incomplete; 45 Hold + 13 Historical non-authorizing; 0 Ready; 0 execution-allowed. Dates are estimates; evidence gates control delivery.</x:v>
      </x:c>
      <x:c r="K3" s="15" t="str">
        <x:v>Review workbook generated from PHASE1-ROADMAP-MANIFEST.json on 2026-08-16. Current readiness: 58 Incomplete; 45 Hold + 13 Historical non-authorizing; 0 Ready; 0 execution-allowed. Dates are estimates; evidence gates control delivery.</x:v>
      </x:c>
      <x:c r="L3" s="15" t="str">
        <x:v>Review workbook generated from PHASE1-ROADMAP-MANIFEST.json on 2026-08-16. Current readiness: 58 Incomplete; 45 Hold + 13 Historical non-authorizing; 0 Ready; 0 execution-allowed. Dates are estimates; evidence gates control delivery.</x:v>
      </x:c>
      <x:c r="M3" s="15" t="str">
        <x:v>Review workbook generated from PHASE1-ROADMAP-MANIFEST.json on 2026-08-16. Current readiness: 58 Incomplete; 45 Hold + 13 Historical non-authorizing; 0 Ready; 0 execution-allowed. Dates are estimates; evidence gates control delivery.</x:v>
      </x:c>
      <x:c r="N3" s="15" t="str">
        <x:v>Review workbook generated from PHASE1-ROADMAP-MANIFEST.json on 2026-08-16. Current readiness: 58 Incomplete; 45 Hold + 13 Historical non-authorizing; 0 Ready; 0 execution-allowed. Dates are estimates; evidence gates control delivery.</x:v>
      </x:c>
      <x:c r="O3" s="15" t="str">
        <x:v>Review workbook generated from PHASE1-ROADMAP-MANIFEST.json on 2026-08-16. Current readiness: 58 Incomplete; 45 Hold + 13 Historical non-authorizing; 0 Ready; 0 execution-allowed. Dates are estimates; evidence gates control delivery.</x:v>
      </x:c>
      <x:c r="P3" s="15" t="str">
        <x:v>Review workbook generated from PHASE1-ROADMAP-MANIFEST.json on 2026-08-16. Current readiness: 58 Incomplete; 45 Hold + 13 Historical non-authorizing; 0 Ready; 0 execution-allowed. Dates are estimates; evidence gates control delivery.</x:v>
      </x:c>
      <x:c r="Q3" s="15" t="str">
        <x:v>Review workbook generated from PHASE1-ROADMAP-MANIFEST.json on 2026-08-16. Current readiness: 58 Incomplete; 45 Hold + 13 Historical non-authorizing; 0 Ready; 0 execution-allowed. Dates are estimates; evidence gates control delivery.</x:v>
      </x:c>
      <x:c r="R3" s="15" t="str">
        <x:v>Review workbook generated from PHASE1-ROADMAP-MANIFEST.json on 2026-08-16. Current readiness: 58 Incomplete; 45 Hold + 13 Historical non-authorizing; 0 Ready; 0 execution-allowed. Dates are estimates; evidence gates control delivery.</x:v>
      </x:c>
      <x:c r="S3" s="15" t="str">
        <x:v>Review workbook generated from PHASE1-ROADMAP-MANIFEST.json on 2026-08-16. Current readiness: 58 Incomplete; 45 Hold + 13 Historical non-authorizing; 0 Ready; 0 execution-allowed. Dates are estimates; evidence gates control delivery.</x:v>
      </x:c>
      <x:c r="T3" s="15" t="str">
        <x:v>Review workbook generated from PHASE1-ROADMAP-MANIFEST.json on 2026-08-16. Current readiness: 58 Incomplete; 45 Hold + 13 Historical non-authorizing; 0 Ready; 0 execution-allowed. Dates are estimates; evidence gates control delivery.</x:v>
      </x:c>
      <x:c r="U3" s="16" t="str">
        <x:v>Review workbook generated from PHASE1-ROADMAP-MANIFEST.json on 2026-08-16. Current readiness: 58 Incomplete; 45 Hold + 13 Historical non-authorizing; 0 Ready; 0 execution-allowed. Dates are estimates; evidence gates control delivery.</x:v>
      </x:c>
    </x:row>
    <x:row r="5" ht="30" customHeight="1">
      <x:c r="A5" s="37" t="str">
        <x:v>Plan metric</x:v>
      </x:c>
      <x:c r="B5" s="37" t="str">
        <x:v>Value</x:v>
      </x:c>
      <x:c r="C5" s="38"/>
      <x:c r="D5" s="38"/>
      <x:c r="E5" s="38"/>
      <x:c r="F5" s="38"/>
      <x:c r="G5" s="38"/>
      <x:c r="H5" s="38"/>
      <x:c r="I5" s="38"/>
      <x:c r="J5" s="38"/>
      <x:c r="K5" s="37" t="str">
        <x:v>Status</x:v>
      </x:c>
      <x:c r="L5" s="37" t="str">
        <x:v>Tasks</x:v>
      </x:c>
      <x:c r="M5" s="38"/>
      <x:c r="N5" s="38"/>
      <x:c r="O5" s="38"/>
      <x:c r="P5" s="38"/>
      <x:c r="Q5" s="38"/>
      <x:c r="R5" s="38"/>
      <x:c r="S5" s="38"/>
      <x:c r="T5" s="38"/>
      <x:c r="U5" s="38"/>
    </x:row>
    <x:row r="6">
      <x:c r="A6" s="26" t="str">
        <x:v>Roadmap tasks</x:v>
      </x:c>
      <x:c r="B6" s="26" t="n">
        <x:f>COUNTA('Roadmap Tasks'!$A$6:$A$63)</x:f>
        <x:v>58</x:v>
      </x:c>
      <x:c r="C6" s="38"/>
      <x:c r="D6" s="38"/>
      <x:c r="E6" s="38"/>
      <x:c r="F6" s="38"/>
      <x:c r="G6" s="38"/>
      <x:c r="H6" s="38"/>
      <x:c r="I6" s="38"/>
      <x:c r="J6" s="38"/>
      <x:c r="K6" s="26" t="str">
        <x:v>Backlog</x:v>
      </x:c>
      <x:c r="L6" s="26" t="n">
        <x:f>COUNTIF('Roadmap Tasks'!$C$6:$C$63,K6)</x:f>
        <x:v>40</x:v>
      </x:c>
      <x:c r="M6" s="38"/>
      <x:c r="N6" s="38"/>
      <x:c r="O6" s="38"/>
      <x:c r="P6" s="38"/>
      <x:c r="Q6" s="38"/>
      <x:c r="R6" s="38"/>
      <x:c r="S6" s="38"/>
      <x:c r="T6" s="38"/>
      <x:c r="U6" s="38"/>
    </x:row>
    <x:row r="7">
      <x:c r="A7" s="26" t="str">
        <x:v>Done planning tasks</x:v>
      </x:c>
      <x:c r="B7" s="26" t="n">
        <x:f>COUNTIF('Roadmap Tasks'!$C$6:$C$63,"Done")</x:f>
        <x:v>13</x:v>
      </x:c>
      <x:c r="C7" s="38"/>
      <x:c r="D7" s="38"/>
      <x:c r="E7" s="38"/>
      <x:c r="F7" s="38"/>
      <x:c r="G7" s="38"/>
      <x:c r="H7" s="38"/>
      <x:c r="I7" s="38"/>
      <x:c r="J7" s="38"/>
      <x:c r="K7" s="26" t="str">
        <x:v>Next</x:v>
      </x:c>
      <x:c r="L7" s="26" t="n">
        <x:f>COUNTIF('Roadmap Tasks'!$C$6:$C$63,K7)</x:f>
        <x:v>4</x:v>
      </x:c>
      <x:c r="M7" s="38"/>
      <x:c r="N7" s="38"/>
      <x:c r="O7" s="38"/>
      <x:c r="P7" s="38"/>
      <x:c r="Q7" s="38"/>
      <x:c r="R7" s="38"/>
      <x:c r="S7" s="38"/>
      <x:c r="T7" s="38"/>
      <x:c r="U7" s="38"/>
    </x:row>
    <x:row r="8">
      <x:c r="A8" s="26" t="str">
        <x:v>In progress</x:v>
      </x:c>
      <x:c r="B8" s="26" t="n">
        <x:f>COUNTIF('Roadmap Tasks'!$C$6:$C$63,"In progress")</x:f>
        <x:v>1</x:v>
      </x:c>
      <x:c r="C8" s="38"/>
      <x:c r="D8" s="38"/>
      <x:c r="E8" s="38"/>
      <x:c r="F8" s="38"/>
      <x:c r="G8" s="38"/>
      <x:c r="H8" s="38"/>
      <x:c r="I8" s="38"/>
      <x:c r="J8" s="38"/>
      <x:c r="K8" s="26" t="str">
        <x:v>In progress</x:v>
      </x:c>
      <x:c r="L8" s="26" t="n">
        <x:f>COUNTIF('Roadmap Tasks'!$C$6:$C$63,K8)</x:f>
        <x:v>1</x:v>
      </x:c>
      <x:c r="M8" s="38"/>
      <x:c r="N8" s="38"/>
      <x:c r="O8" s="38"/>
      <x:c r="P8" s="38"/>
      <x:c r="Q8" s="38"/>
      <x:c r="R8" s="38"/>
      <x:c r="S8" s="38"/>
      <x:c r="T8" s="38"/>
      <x:c r="U8" s="38"/>
    </x:row>
    <x:row r="9">
      <x:c r="A9" s="26" t="str">
        <x:v>Next</x:v>
      </x:c>
      <x:c r="B9" s="26" t="n">
        <x:f>COUNTIF('Roadmap Tasks'!$C$6:$C$63,"Next")</x:f>
        <x:v>4</x:v>
      </x:c>
      <x:c r="C9" s="38"/>
      <x:c r="D9" s="38"/>
      <x:c r="E9" s="38"/>
      <x:c r="F9" s="38"/>
      <x:c r="G9" s="38"/>
      <x:c r="H9" s="38"/>
      <x:c r="I9" s="38"/>
      <x:c r="J9" s="38"/>
      <x:c r="K9" s="26" t="str">
        <x:v>Done</x:v>
      </x:c>
      <x:c r="L9" s="26" t="n">
        <x:f>COUNTIF('Roadmap Tasks'!$C$6:$C$63,K9)</x:f>
        <x:v>13</x:v>
      </x:c>
      <x:c r="M9" s="38"/>
      <x:c r="N9" s="38"/>
      <x:c r="O9" s="38"/>
      <x:c r="P9" s="38"/>
      <x:c r="Q9" s="38"/>
      <x:c r="R9" s="38"/>
      <x:c r="S9" s="38"/>
      <x:c r="T9" s="38"/>
      <x:c r="U9" s="38"/>
    </x:row>
    <x:row r="10">
      <x:c r="A10" s="26" t="str">
        <x:v>Backlog</x:v>
      </x:c>
      <x:c r="B10" s="26" t="n">
        <x:f>COUNTIF('Roadmap Tasks'!$C$6:$C$63,"Backlog")</x:f>
        <x:v>40</x:v>
      </x:c>
      <x:c r="C10" s="38"/>
      <x:c r="D10" s="38"/>
      <x:c r="E10" s="38"/>
      <x:c r="F10" s="38"/>
      <x:c r="G10" s="38"/>
      <x:c r="H10" s="38"/>
      <x:c r="I10" s="38"/>
      <x:c r="J10" s="38"/>
      <x:c r="K10" s="38"/>
      <x:c r="L10" s="38"/>
      <x:c r="M10" s="38"/>
      <x:c r="N10" s="38"/>
      <x:c r="O10" s="38"/>
      <x:c r="P10" s="38"/>
      <x:c r="Q10" s="38"/>
      <x:c r="R10" s="38"/>
      <x:c r="S10" s="38"/>
      <x:c r="T10" s="38"/>
      <x:c r="U10" s="38"/>
    </x:row>
    <x:row r="11">
      <x:c r="A11" s="26" t="str">
        <x:v>Milestones</x:v>
      </x:c>
      <x:c r="B11" s="26" t="n">
        <x:f>COUNTA('Release Plan'!$A$6:$A$17)</x:f>
        <x:v>12</x:v>
      </x:c>
      <x:c r="C11" s="38"/>
      <x:c r="D11" s="38"/>
      <x:c r="E11" s="38"/>
      <x:c r="F11" s="38"/>
      <x:c r="G11" s="38"/>
      <x:c r="H11" s="38"/>
      <x:c r="I11" s="38"/>
      <x:c r="J11" s="38"/>
      <x:c r="K11" s="38"/>
      <x:c r="L11" s="38"/>
      <x:c r="M11" s="38"/>
      <x:c r="N11" s="38"/>
      <x:c r="O11" s="38"/>
      <x:c r="P11" s="38"/>
      <x:c r="Q11" s="38"/>
      <x:c r="R11" s="38"/>
      <x:c r="S11" s="38"/>
      <x:c r="T11" s="38"/>
      <x:c r="U11" s="38"/>
    </x:row>
    <x:row r="12" ht="30" customHeight="1">
      <x:c r="A12" s="26" t="str">
        <x:v>Requirements</x:v>
      </x:c>
      <x:c r="B12" s="26" t="n">
        <x:f>COUNTA('Requirement Map'!$A$6:$A$83)</x:f>
        <x:v>78</x:v>
      </x:c>
      <x:c r="C12" s="38"/>
      <x:c r="D12" s="38"/>
      <x:c r="E12" s="38"/>
      <x:c r="F12" s="38"/>
      <x:c r="G12" s="38"/>
      <x:c r="H12" s="38"/>
      <x:c r="I12" s="38"/>
      <x:c r="J12" s="38"/>
      <x:c r="K12" s="37" t="str">
        <x:v>Milestone</x:v>
      </x:c>
      <x:c r="L12" s="37" t="str">
        <x:v>Tasks</x:v>
      </x:c>
      <x:c r="M12" s="38"/>
      <x:c r="N12" s="38"/>
      <x:c r="O12" s="38"/>
      <x:c r="P12" s="38"/>
      <x:c r="Q12" s="38"/>
      <x:c r="R12" s="38"/>
      <x:c r="S12" s="38"/>
      <x:c r="T12" s="38"/>
      <x:c r="U12" s="38"/>
    </x:row>
    <x:row r="13">
      <x:c r="A13" s="26" t="str">
        <x:v>Active coverage</x:v>
      </x:c>
      <x:c r="B13" s="26" t="n">
        <x:f>COUNTIF('Requirement Map'!$B$6:$B$83,"&lt;&gt;Deferred")</x:f>
        <x:v>71</x:v>
      </x:c>
      <x:c r="C13" s="38"/>
      <x:c r="D13" s="38"/>
      <x:c r="E13" s="38"/>
      <x:c r="F13" s="38"/>
      <x:c r="G13" s="38"/>
      <x:c r="H13" s="38"/>
      <x:c r="I13" s="38"/>
      <x:c r="J13" s="38"/>
      <x:c r="K13" s="26" t="str">
        <x:v>P0</x:v>
      </x:c>
      <x:c r="L13" s="26" t="n">
        <x:f>COUNTIF('Roadmap Tasks'!$G$6:$G$63,K13)</x:f>
        <x:v>2</x:v>
      </x:c>
      <x:c r="M13" s="38"/>
      <x:c r="N13" s="38"/>
      <x:c r="O13" s="38"/>
      <x:c r="P13" s="38"/>
      <x:c r="Q13" s="38"/>
      <x:c r="R13" s="38"/>
      <x:c r="S13" s="38"/>
      <x:c r="T13" s="38"/>
      <x:c r="U13" s="38"/>
    </x:row>
    <x:row r="14">
      <x:c r="A14" s="28" t="str">
        <x:v>Dossiers Ready</x:v>
      </x:c>
      <x:c r="B14" s="28" t="n">
        <x:f>COUNTIF('Roadmap Tasks'!$D$6:$D$63,"Ready")</x:f>
        <x:v>0</x:v>
      </x:c>
      <x:c r="C14" s="38"/>
      <x:c r="D14" s="38"/>
      <x:c r="E14" s="38"/>
      <x:c r="F14" s="38"/>
      <x:c r="G14" s="38"/>
      <x:c r="H14" s="38"/>
      <x:c r="I14" s="38"/>
      <x:c r="J14" s="38"/>
      <x:c r="K14" s="26" t="str">
        <x:v>R0</x:v>
      </x:c>
      <x:c r="L14" s="26" t="n">
        <x:f>COUNTIF('Roadmap Tasks'!$G$6:$G$63,K14)</x:f>
        <x:v>6</x:v>
      </x:c>
      <x:c r="M14" s="38"/>
      <x:c r="N14" s="38"/>
      <x:c r="O14" s="38"/>
      <x:c r="P14" s="38"/>
      <x:c r="Q14" s="38"/>
      <x:c r="R14" s="38"/>
      <x:c r="S14" s="38"/>
      <x:c r="T14" s="38"/>
      <x:c r="U14" s="38"/>
    </x:row>
    <x:row r="15">
      <x:c r="A15" s="30" t="str">
        <x:v>Execution allowed</x:v>
      </x:c>
      <x:c r="B15" s="30" t="n">
        <x:f>COUNTIF('Roadmap Tasks'!$E$6:$E$63,"Yes")</x:f>
        <x:v>0</x:v>
      </x:c>
      <x:c r="C15" s="38"/>
      <x:c r="D15" s="38"/>
      <x:c r="E15" s="38"/>
      <x:c r="F15" s="38"/>
      <x:c r="G15" s="38"/>
      <x:c r="H15" s="38"/>
      <x:c r="I15" s="38"/>
      <x:c r="J15" s="38"/>
      <x:c r="K15" s="26" t="str">
        <x:v>R1</x:v>
      </x:c>
      <x:c r="L15" s="26" t="n">
        <x:f>COUNTIF('Roadmap Tasks'!$G$6:$G$63,K15)</x:f>
        <x:v>5</x:v>
      </x:c>
      <x:c r="M15" s="38"/>
      <x:c r="N15" s="38"/>
      <x:c r="O15" s="38"/>
      <x:c r="P15" s="38"/>
      <x:c r="Q15" s="38"/>
      <x:c r="R15" s="38"/>
      <x:c r="S15" s="38"/>
      <x:c r="T15" s="38"/>
      <x:c r="U15" s="38"/>
    </x:row>
    <x:row r="16">
      <x:c r="A16" s="26" t="str">
        <x:v>Planning completion</x:v>
      </x:c>
      <x:c r="B16" s="31" t="n">
        <x:f>B7/B6</x:f>
        <x:v>0.22413793103448276</x:v>
      </x:c>
      <x:c r="C16" s="38"/>
      <x:c r="D16" s="38"/>
      <x:c r="E16" s="38"/>
      <x:c r="F16" s="38"/>
      <x:c r="G16" s="38"/>
      <x:c r="H16" s="38"/>
      <x:c r="I16" s="38"/>
      <x:c r="J16" s="38"/>
      <x:c r="K16" s="26" t="str">
        <x:v>R2</x:v>
      </x:c>
      <x:c r="L16" s="26" t="n">
        <x:f>COUNTIF('Roadmap Tasks'!$G$6:$G$63,K16)</x:f>
        <x:v>6</x:v>
      </x:c>
      <x:c r="M16" s="38"/>
      <x:c r="N16" s="38"/>
      <x:c r="O16" s="38"/>
      <x:c r="P16" s="38"/>
      <x:c r="Q16" s="38"/>
      <x:c r="R16" s="38"/>
      <x:c r="S16" s="38"/>
      <x:c r="T16" s="38"/>
      <x:c r="U16" s="38"/>
    </x:row>
    <x:row r="17">
      <x:c r="A17" s="38"/>
      <x:c r="B17" s="38"/>
      <x:c r="C17" s="38"/>
      <x:c r="D17" s="38"/>
      <x:c r="E17" s="38"/>
      <x:c r="F17" s="38"/>
      <x:c r="G17" s="38"/>
      <x:c r="H17" s="38"/>
      <x:c r="I17" s="38"/>
      <x:c r="J17" s="38"/>
      <x:c r="K17" s="26" t="str">
        <x:v>R3</x:v>
      </x:c>
      <x:c r="L17" s="26" t="n">
        <x:f>COUNTIF('Roadmap Tasks'!$G$6:$G$63,K17)</x:f>
        <x:v>5</x:v>
      </x:c>
      <x:c r="M17" s="38"/>
      <x:c r="N17" s="38"/>
      <x:c r="O17" s="38"/>
      <x:c r="P17" s="38"/>
      <x:c r="Q17" s="38"/>
      <x:c r="R17" s="38"/>
      <x:c r="S17" s="38"/>
      <x:c r="T17" s="38"/>
      <x:c r="U17" s="38"/>
    </x:row>
    <x:row r="18">
      <x:c r="A18" s="39" t="str">
        <x:v>Council release sequence</x:v>
      </x:c>
      <x:c r="B18" s="39" t="str">
        <x:v>Council release sequence</x:v>
      </x:c>
      <x:c r="C18" s="39" t="str">
        <x:v>Council release sequence</x:v>
      </x:c>
      <x:c r="D18" s="39" t="str">
        <x:v>Council release sequence</x:v>
      </x:c>
      <x:c r="E18" s="39" t="str">
        <x:v>Council release sequence</x:v>
      </x:c>
      <x:c r="F18" s="39" t="str">
        <x:v>Council release sequence</x:v>
      </x:c>
      <x:c r="G18" s="39" t="str">
        <x:v>Council release sequence</x:v>
      </x:c>
      <x:c r="H18" s="39" t="str">
        <x:v>Council release sequence</x:v>
      </x:c>
      <x:c r="I18" s="38"/>
      <x:c r="J18" s="38"/>
      <x:c r="K18" s="26" t="str">
        <x:v>R4</x:v>
      </x:c>
      <x:c r="L18" s="26" t="n">
        <x:f>COUNTIF('Roadmap Tasks'!$G$6:$G$63,K18)</x:f>
        <x:v>6</x:v>
      </x:c>
      <x:c r="M18" s="38"/>
      <x:c r="N18" s="38"/>
      <x:c r="O18" s="38"/>
      <x:c r="P18" s="38"/>
      <x:c r="Q18" s="38"/>
      <x:c r="R18" s="38"/>
      <x:c r="S18" s="38"/>
      <x:c r="T18" s="38"/>
      <x:c r="U18" s="38"/>
    </x:row>
    <x:row r="19" ht="30" customHeight="1">
      <x:c r="A19" s="37" t="str">
        <x:v>Milestone</x:v>
      </x:c>
      <x:c r="B19" s="37" t="str">
        <x:v>Release</x:v>
      </x:c>
      <x:c r="C19" s="37" t="str">
        <x:v>Start</x:v>
      </x:c>
      <x:c r="D19" s="37" t="str">
        <x:v>Target</x:v>
      </x:c>
      <x:c r="E19" s="37" t="str">
        <x:v>Outcome</x:v>
      </x:c>
      <x:c r="F19" s="37" t="str">
        <x:v>Entry dependency</x:v>
      </x:c>
      <x:c r="G19" s="37" t="str">
        <x:v>Tasks</x:v>
      </x:c>
      <x:c r="H19" s="37" t="str">
        <x:v>Status note</x:v>
      </x:c>
      <x:c r="I19" s="38"/>
      <x:c r="J19" s="38"/>
      <x:c r="K19" s="26" t="str">
        <x:v>R5</x:v>
      </x:c>
      <x:c r="L19" s="26" t="n">
        <x:f>COUNTIF('Roadmap Tasks'!$G$6:$G$63,K19)</x:f>
        <x:v>6</x:v>
      </x:c>
      <x:c r="M19" s="38"/>
      <x:c r="N19" s="38"/>
      <x:c r="O19" s="38"/>
      <x:c r="P19" s="38"/>
      <x:c r="Q19" s="38"/>
      <x:c r="R19" s="38"/>
      <x:c r="S19" s="38"/>
      <x:c r="T19" s="38"/>
      <x:c r="U19" s="38"/>
    </x:row>
    <x:row r="20">
      <x:c r="A20" s="36" t="str">
        <x:v>P0</x:v>
      </x:c>
      <x:c r="B20" s="26" t="str">
        <x:v>Council Planning Baseline</x:v>
      </x:c>
      <x:c r="C20" s="35" t="n">
        <x:v>46248</x:v>
      </x:c>
      <x:c r="D20" s="35" t="n">
        <x:v>46250</x:v>
      </x:c>
      <x:c r="E20" s="26" t="str">
        <x:v>A source-grounded, reviewable Product Council package and one canonical delivery manifest.</x:v>
      </x:c>
      <x:c r="F20" s="26" t="str">
        <x:v>None</x:v>
      </x:c>
      <x:c r="G20" s="26" t="n">
        <x:v>2</x:v>
      </x:c>
      <x:c r="H20" s="26" t="str">
        <x:v>Evidence-gated estimate</x:v>
      </x:c>
      <x:c r="I20" s="38"/>
      <x:c r="J20" s="38"/>
      <x:c r="K20" s="26" t="str">
        <x:v>R6</x:v>
      </x:c>
      <x:c r="L20" s="26" t="n">
        <x:f>COUNTIF('Roadmap Tasks'!$G$6:$G$63,K20)</x:f>
        <x:v>6</x:v>
      </x:c>
      <x:c r="M20" s="38"/>
      <x:c r="N20" s="38"/>
      <x:c r="O20" s="38"/>
      <x:c r="P20" s="38"/>
      <x:c r="Q20" s="38"/>
      <x:c r="R20" s="38"/>
      <x:c r="S20" s="38"/>
      <x:c r="T20" s="38"/>
      <x:c r="U20" s="38"/>
    </x:row>
    <x:row r="21">
      <x:c r="A21" s="36" t="str">
        <x:v>R0</x:v>
      </x:c>
      <x:c r="B21" s="26" t="str">
        <x:v>Shared-Host Private Foundation</x:v>
      </x:c>
      <x:c r="C21" s="35" t="n">
        <x:v>46251</x:v>
      </x:c>
      <x:c r="D21" s="35" t="n">
        <x:v>46262</x:v>
      </x:c>
      <x:c r="E21" s="26" t="str">
        <x:v>A synthetic-only private shell can coexist with current services, recover, upgrade, and roll back.</x:v>
      </x:c>
      <x:c r="F21" s="26" t="str">
        <x:v>P0 accepted</x:v>
      </x:c>
      <x:c r="G21" s="26" t="n">
        <x:v>6</x:v>
      </x:c>
      <x:c r="H21" s="26" t="str">
        <x:v>Evidence-gated estimate</x:v>
      </x:c>
      <x:c r="I21" s="38"/>
      <x:c r="J21" s="38"/>
      <x:c r="K21" s="26" t="str">
        <x:v>R7</x:v>
      </x:c>
      <x:c r="L21" s="26" t="n">
        <x:f>COUNTIF('Roadmap Tasks'!$G$6:$G$63,K21)</x:f>
        <x:v>6</x:v>
      </x:c>
      <x:c r="M21" s="38"/>
      <x:c r="N21" s="38"/>
      <x:c r="O21" s="38"/>
      <x:c r="P21" s="38"/>
      <x:c r="Q21" s="38"/>
      <x:c r="R21" s="38"/>
      <x:c r="S21" s="38"/>
      <x:c r="T21" s="38"/>
      <x:c r="U21" s="38"/>
    </x:row>
    <x:row r="22">
      <x:c r="A22" s="36" t="str">
        <x:v>R1</x:v>
      </x:c>
      <x:c r="B22" s="26" t="str">
        <x:v>Manual Journal Archive</x:v>
      </x:c>
      <x:c r="C22" s="35" t="n">
        <x:v>46265</x:v>
      </x:c>
      <x:c r="D22" s="35" t="n">
        <x:v>46283</x:v>
      </x:c>
      <x:c r="E22" s="26" t="str">
        <x:v>First memory-creating release: explicit-date text upload, Calendar, and Journal Day recall.</x:v>
      </x:c>
      <x:c r="F22" s="26" t="str">
        <x:v>R0 accepted</x:v>
      </x:c>
      <x:c r="G22" s="26" t="n">
        <x:v>5</x:v>
      </x:c>
      <x:c r="H22" s="26" t="str">
        <x:v>Evidence-gated estimate</x:v>
      </x:c>
      <x:c r="I22" s="38"/>
      <x:c r="J22" s="38"/>
      <x:c r="K22" s="26" t="str">
        <x:v>R8</x:v>
      </x:c>
      <x:c r="L22" s="26" t="n">
        <x:f>COUNTIF('Roadmap Tasks'!$G$6:$G$63,K22)</x:f>
        <x:v>4</x:v>
      </x:c>
      <x:c r="M22" s="38"/>
      <x:c r="N22" s="38"/>
      <x:c r="O22" s="38"/>
      <x:c r="P22" s="38"/>
      <x:c r="Q22" s="38"/>
      <x:c r="R22" s="38"/>
      <x:c r="S22" s="38"/>
      <x:c r="T22" s="38"/>
      <x:c r="U22" s="38"/>
    </x:row>
    <x:row r="23">
      <x:c r="A23" s="36" t="str">
        <x:v>R2</x:v>
      </x:c>
      <x:c r="B23" s="26" t="str">
        <x:v>Telegram Photo Capture</x:v>
      </x:c>
      <x:c r="C23" s="35" t="n">
        <x:v>46286</x:v>
      </x:c>
      <x:c r="D23" s="35" t="n">
        <x:v>46304</x:v>
      </x:c>
      <x:c r="E23" s="26" t="str">
        <x:v>Authorized durable photo capture with review-safe dating, gallery, cover, duplicates, and privacy-safe derivatives.</x:v>
      </x:c>
      <x:c r="F23" s="26" t="str">
        <x:v>R1 accepted</x:v>
      </x:c>
      <x:c r="G23" s="26" t="n">
        <x:v>6</x:v>
      </x:c>
      <x:c r="H23" s="26" t="str">
        <x:v>Evidence-gated estimate</x:v>
      </x:c>
      <x:c r="I23" s="38"/>
      <x:c r="J23" s="38"/>
      <x:c r="K23" s="26" t="str">
        <x:v>R9</x:v>
      </x:c>
      <x:c r="L23" s="26" t="n">
        <x:f>COUNTIF('Roadmap Tasks'!$G$6:$G$63,K23)</x:f>
        <x:v>3</x:v>
      </x:c>
      <x:c r="M23" s="38"/>
      <x:c r="N23" s="38"/>
      <x:c r="O23" s="38"/>
      <x:c r="P23" s="38"/>
      <x:c r="Q23" s="38"/>
      <x:c r="R23" s="38"/>
      <x:c r="S23" s="38"/>
      <x:c r="T23" s="38"/>
      <x:c r="U23" s="38"/>
    </x:row>
    <x:row r="24">
      <x:c r="A24" s="36" t="str">
        <x:v>R3</x:v>
      </x:c>
      <x:c r="B24" s="26" t="str">
        <x:v>Retrieval and Date Integrity</x:v>
      </x:c>
      <x:c r="C24" s="35" t="n">
        <x:v>46307</x:v>
      </x:c>
      <x:c r="D24" s="35" t="n">
        <x:v>46325</x:v>
      </x:c>
      <x:c r="E24" s="26" t="str">
        <x:v>Cross-month browsing, deterministic search, Needs Date Review, and atomic source redating.</x:v>
      </x:c>
      <x:c r="F24" s="26" t="str">
        <x:v>R2 accepted</x:v>
      </x:c>
      <x:c r="G24" s="26" t="n">
        <x:v>5</x:v>
      </x:c>
      <x:c r="H24" s="26" t="str">
        <x:v>Evidence-gated estimate</x:v>
      </x:c>
      <x:c r="I24" s="38"/>
      <x:c r="J24" s="38"/>
      <x:c r="K24" s="26" t="str">
        <x:v>R10</x:v>
      </x:c>
      <x:c r="L24" s="26" t="n">
        <x:f>COUNTIF('Roadmap Tasks'!$G$6:$G$63,K24)</x:f>
        <x:v>3</x:v>
      </x:c>
      <x:c r="M24" s="38"/>
      <x:c r="N24" s="38"/>
      <x:c r="O24" s="38"/>
      <x:c r="P24" s="38"/>
      <x:c r="Q24" s="38"/>
      <x:c r="R24" s="38"/>
      <x:c r="S24" s="38"/>
      <x:c r="T24" s="38"/>
      <x:c r="U24" s="38"/>
    </x:row>
    <x:row r="25">
      <x:c r="A25" s="36" t="str">
        <x:v>R4</x:v>
      </x:c>
      <x:c r="B25" s="26" t="str">
        <x:v>Source History and Lifecycle Safety</x:v>
      </x:c>
      <x:c r="C25" s="35" t="n">
        <x:v>46328</x:v>
      </x:c>
      <x:c r="D25" s="35" t="n">
        <x:v>46346</x:v>
      </x:c>
      <x:c r="E25" s="26" t="str">
        <x:v>Corrections, upstream conflicts, History, Trash, suppressions, and complete restorable export.</x:v>
      </x:c>
      <x:c r="F25" s="26" t="str">
        <x:v>R3 accepted</x:v>
      </x:c>
      <x:c r="G25" s="26" t="n">
        <x:v>6</x:v>
      </x:c>
      <x:c r="H25" s="26" t="str">
        <x:v>Evidence-gated estimate</x:v>
      </x:c>
      <x:c r="I25" s="38"/>
      <x:c r="J25" s="38"/>
      <x:c r="K25" s="38"/>
      <x:c r="L25" s="38"/>
      <x:c r="M25" s="38"/>
      <x:c r="N25" s="38"/>
      <x:c r="O25" s="38"/>
      <x:c r="P25" s="38"/>
      <x:c r="Q25" s="38"/>
      <x:c r="R25" s="38"/>
      <x:c r="S25" s="38"/>
      <x:c r="T25" s="38"/>
      <x:c r="U25" s="38"/>
    </x:row>
    <x:row r="26">
      <x:c r="A26" s="36" t="str">
        <x:v>R5</x:v>
      </x:c>
      <x:c r="B26" s="26" t="str">
        <x:v>Prospective VoiceNotes Sync</x:v>
      </x:c>
      <x:c r="C26" s="35" t="n">
        <x:v>46349</x:v>
      </x:c>
      <x:c r="D26" s="35" t="n">
        <x:v>46367</x:v>
      </x:c>
      <x:c r="E26" s="26" t="str">
        <x:v>Spike-proven, prospective-only VoiceNotes retrieval and replay-safe reconciliation.</x:v>
      </x:c>
      <x:c r="F26" s="26" t="str">
        <x:v>R4 accepted and VoiceNotes synthetic contract spike passes</x:v>
      </x:c>
      <x:c r="G26" s="26" t="n">
        <x:v>6</x:v>
      </x:c>
      <x:c r="H26" s="26" t="str">
        <x:v>Evidence-gated estimate</x:v>
      </x:c>
      <x:c r="I26" s="38"/>
      <x:c r="J26" s="38"/>
      <x:c r="K26" s="38"/>
      <x:c r="L26" s="38"/>
      <x:c r="M26" s="38"/>
      <x:c r="N26" s="38"/>
      <x:c r="O26" s="38"/>
      <x:c r="P26" s="38"/>
      <x:c r="Q26" s="38"/>
      <x:c r="R26" s="38"/>
      <x:c r="S26" s="38"/>
      <x:c r="T26" s="38"/>
      <x:c r="U26" s="38"/>
    </x:row>
    <x:row r="27">
      <x:c r="A27" s="36" t="str">
        <x:v>R6</x:v>
      </x:c>
      <x:c r="B27" s="26" t="str">
        <x:v>Generated Text Reflection</x:v>
      </x:c>
      <x:c r="C27" s="35" t="n">
        <x:v>46370</x:v>
      </x:c>
      <x:c r="D27" s="35" t="n">
        <x:v>46395</x:v>
      </x:c>
      <x:c r="E27" s="26" t="str">
        <x:v>Optional evaluated titles, summaries, tags, and Visual Briefs with protection, provenance, and budget enforcement.</x:v>
      </x:c>
      <x:c r="F27" s="26" t="str">
        <x:v>R5 accepted and text-model evaluation passes</x:v>
      </x:c>
      <x:c r="G27" s="26" t="n">
        <x:v>6</x:v>
      </x:c>
      <x:c r="H27" s="26" t="str">
        <x:v>Evidence-gated estimate</x:v>
      </x:c>
      <x:c r="I27" s="38"/>
      <x:c r="J27" s="38"/>
      <x:c r="K27" s="38"/>
      <x:c r="L27" s="38"/>
      <x:c r="M27" s="38"/>
      <x:c r="N27" s="38"/>
      <x:c r="O27" s="38"/>
      <x:c r="P27" s="38"/>
      <x:c r="Q27" s="38"/>
      <x:c r="R27" s="38"/>
      <x:c r="S27" s="38"/>
      <x:c r="T27" s="38"/>
      <x:c r="U27" s="38"/>
    </x:row>
    <x:row r="28">
      <x:c r="A28" s="36" t="str">
        <x:v>R7</x:v>
      </x:c>
      <x:c r="B28" s="26" t="str">
        <x:v>Generated Artwork</x:v>
      </x:c>
      <x:c r="C28" s="35" t="n">
        <x:v>46398</x:v>
      </x:c>
      <x:c r="D28" s="35" t="n">
        <x:v>46416</x:v>
      </x:c>
      <x:c r="E28" s="26" t="str">
        <x:v>Optional evaluated symbolic artwork with explicit preflight, versions, suppression, and real-photo cover precedence.</x:v>
      </x:c>
      <x:c r="F28" s="26" t="str">
        <x:v>R6 accepted and artwork-model evaluation passes</x:v>
      </x:c>
      <x:c r="G28" s="26" t="n">
        <x:v>6</x:v>
      </x:c>
      <x:c r="H28" s="26" t="str">
        <x:v>Evidence-gated estimate</x:v>
      </x:c>
      <x:c r="I28" s="38"/>
      <x:c r="J28" s="38"/>
      <x:c r="K28" s="38"/>
      <x:c r="L28" s="38"/>
      <x:c r="M28" s="38"/>
      <x:c r="N28" s="38"/>
      <x:c r="O28" s="38"/>
      <x:c r="P28" s="38"/>
      <x:c r="Q28" s="38"/>
      <x:c r="R28" s="38"/>
      <x:c r="S28" s="38"/>
      <x:c r="T28" s="38"/>
      <x:c r="U28" s="38"/>
    </x:row>
    <x:row r="29">
      <x:c r="A29" s="36" t="str">
        <x:v>R8</x:v>
      </x:c>
      <x:c r="B29" s="26" t="str">
        <x:v>Operational Scale and Resilience</x:v>
      </x:c>
      <x:c r="C29" s="35" t="n">
        <x:v>46419</x:v>
      </x:c>
      <x:c r="D29" s="35" t="n">
        <x:v>46437</x:v>
      </x:c>
      <x:c r="E29" s="26" t="str">
        <x:v>The integrated archive degrades safely under dependency, capacity, restart, and job failures.</x:v>
      </x:c>
      <x:c r="F29" s="26" t="str">
        <x:v>R0 through R7 accepted</x:v>
      </x:c>
      <x:c r="G29" s="26" t="n">
        <x:v>4</x:v>
      </x:c>
      <x:c r="H29" s="26" t="str">
        <x:v>Evidence-gated estimate</x:v>
      </x:c>
      <x:c r="I29" s="38"/>
      <x:c r="J29" s="38"/>
      <x:c r="K29" s="38"/>
      <x:c r="L29" s="38"/>
      <x:c r="M29" s="38"/>
      <x:c r="N29" s="38"/>
      <x:c r="O29" s="38"/>
      <x:c r="P29" s="38"/>
      <x:c r="Q29" s="38"/>
      <x:c r="R29" s="38"/>
      <x:c r="S29" s="38"/>
      <x:c r="T29" s="38"/>
      <x:c r="U29" s="38"/>
    </x:row>
    <x:row r="30">
      <x:c r="A30" s="36" t="str">
        <x:v>R9</x:v>
      </x:c>
      <x:c r="B30" s="26" t="str">
        <x:v>Private Launch Acceptance and Stabilization</x:v>
      </x:c>
      <x:c r="C30" s="35" t="n">
        <x:v>46440</x:v>
      </x:c>
      <x:c r="D30" s="35" t="n">
        <x:v>46458</x:v>
      </x:c>
      <x:c r="E30" s="26" t="str">
        <x:v>The complete private archive is owner-accepted for routine personal use and stabilized without new scope.</x:v>
      </x:c>
      <x:c r="F30" s="26" t="str">
        <x:v>R8 accepted and explicit launch authority</x:v>
      </x:c>
      <x:c r="G30" s="26" t="n">
        <x:v>3</x:v>
      </x:c>
      <x:c r="H30" s="26" t="str">
        <x:v>Evidence-gated estimate</x:v>
      </x:c>
      <x:c r="I30" s="38"/>
      <x:c r="J30" s="38"/>
      <x:c r="K30" s="38"/>
      <x:c r="L30" s="38"/>
      <x:c r="M30" s="38"/>
      <x:c r="N30" s="38"/>
      <x:c r="O30" s="38"/>
      <x:c r="P30" s="38"/>
      <x:c r="Q30" s="38"/>
      <x:c r="R30" s="38"/>
      <x:c r="S30" s="38"/>
      <x:c r="T30" s="38"/>
      <x:c r="U30" s="38"/>
    </x:row>
    <x:row r="31">
      <x:c r="A31" s="36" t="str">
        <x:v>R10</x:v>
      </x:c>
      <x:c r="B31" s="26" t="str">
        <x:v>Conditional Object-store Transition</x:v>
      </x:c>
      <x:c r="C31" s="35"/>
      <x:c r="D31" s="35"/>
      <x:c r="E31" s="26" t="str">
        <x:v>Live encrypted media moves only after approved local-capacity watermarks trigger a reversible transition.</x:v>
      </x:c>
      <x:c r="F31" s="26" t="str">
        <x:v>Measured storage trigger; no calendar commitment</x:v>
      </x:c>
      <x:c r="G31" s="26" t="n">
        <x:v>3</x:v>
      </x:c>
      <x:c r="H31" s="26" t="str">
        <x:v>Dates intentionally blank</x:v>
      </x:c>
      <x:c r="I31" s="38"/>
      <x:c r="J31" s="38"/>
      <x:c r="K31" s="38"/>
      <x:c r="L31" s="38"/>
      <x:c r="M31" s="38"/>
      <x:c r="N31" s="38"/>
      <x:c r="O31" s="38"/>
      <x:c r="P31" s="38"/>
      <x:c r="Q31" s="38"/>
      <x:c r="R31" s="38"/>
      <x:c r="S31" s="38"/>
      <x:c r="T31" s="38"/>
      <x:c r="U31" s="38"/>
    </x:row>
  </x:sheetData>
  <x:mergeCells>
    <x:mergeCell ref="A1:U2"/>
    <x:mergeCell ref="A3:U3"/>
    <x:mergeCell ref="A18:H18"/>
  </x:mergeCells>
  <x:conditionalFormatting sqref="K6:K9">
    <x:cfRule type="containsText" dxfId="0" priority="1" operator="containsText" text="Backlog"/>
    <x:cfRule type="containsText" dxfId="1" priority="2" operator="containsText" text="Next"/>
    <x:cfRule type="containsText" dxfId="2" priority="3" operator="containsText" text="In progress"/>
    <x:cfRule type="containsText" dxfId="3" priority="4" operator="containsText" text="Done"/>
  </x:conditionalFormatting>
  <x:pageMargins left="0.7" right="0.7" top="0.75" bottom="0.75" header="0.3" footer="0.3"/>
  <x:drawing xmlns:r="http://schemas.openxmlformats.org/officeDocument/2006/relationships" r:id="Re2c39fd724b84fbb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4" hidden="0" customWidth="1"/>
    <x:col min="3" max="3" width="13" hidden="0" customWidth="1"/>
    <x:col min="4" max="4" width="13" hidden="0" customWidth="1"/>
    <x:col min="5" max="5" width="9" hidden="0" customWidth="1"/>
    <x:col min="6" max="6" width="42" hidden="0" customWidth="1"/>
    <x:col min="7" max="7" width="48" hidden="0" customWidth="1"/>
    <x:col min="8" max="8" width="32" hidden="0" customWidth="1"/>
    <x:col min="9" max="9" width="26" hidden="0" customWidth="1"/>
    <x:col min="10" max="10" width="14" hidden="0" customWidth="1"/>
    <x:col min="11" max="11" width="14" hidden="0" customWidth="1"/>
    <x:col min="12" max="12" width="14" hidden="0" customWidth="1"/>
  </x:cols>
  <x:sheetData>
    <x:row r="1" ht="28" customHeight="1">
      <x:c r="A1" s="5" t="str">
        <x:v>Milestone Release Plan</x:v>
      </x:c>
      <x:c r="B1" s="5" t="str">
        <x:v>Milestone Release Plan</x:v>
      </x:c>
      <x:c r="C1" s="5" t="str">
        <x:v>Milestone Release Plan</x:v>
      </x:c>
      <x:c r="D1" s="5" t="str">
        <x:v>Milestone Release Plan</x:v>
      </x:c>
      <x:c r="E1" s="5" t="str">
        <x:v>Milestone Release Plan</x:v>
      </x:c>
      <x:c r="F1" s="5" t="str">
        <x:v>Milestone Release Plan</x:v>
      </x:c>
      <x:c r="G1" s="5" t="str">
        <x:v>Milestone Release Plan</x:v>
      </x:c>
      <x:c r="H1" s="5" t="str">
        <x:v>Milestone Release Plan</x:v>
      </x:c>
      <x:c r="I1" s="5" t="str">
        <x:v>Milestone Release Plan</x:v>
      </x:c>
      <x:c r="J1" s="5" t="str">
        <x:v>Milestone Release Plan</x:v>
      </x:c>
      <x:c r="K1" s="5" t="str">
        <x:v>Milestone Release Plan</x:v>
      </x:c>
      <x:c r="L1" s="5" t="str">
        <x:v>Milestone Release Plan</x:v>
      </x:c>
    </x:row>
    <x:row r="2" ht="28" customHeight="1">
      <x:c r="A2" s="5" t="str">
        <x:v>Milestone Release Plan</x:v>
      </x:c>
      <x:c r="B2" s="5" t="str">
        <x:v>Milestone Release Plan</x:v>
      </x:c>
      <x:c r="C2" s="5" t="str">
        <x:v>Milestone Release Plan</x:v>
      </x:c>
      <x:c r="D2" s="5" t="str">
        <x:v>Milestone Release Plan</x:v>
      </x:c>
      <x:c r="E2" s="5" t="str">
        <x:v>Milestone Release Plan</x:v>
      </x:c>
      <x:c r="F2" s="5" t="str">
        <x:v>Milestone Release Plan</x:v>
      </x:c>
      <x:c r="G2" s="5" t="str">
        <x:v>Milestone Release Plan</x:v>
      </x:c>
      <x:c r="H2" s="5" t="str">
        <x:v>Milestone Release Plan</x:v>
      </x:c>
      <x:c r="I2" s="5" t="str">
        <x:v>Milestone Release Plan</x:v>
      </x:c>
      <x:c r="J2" s="5" t="str">
        <x:v>Milestone Release Plan</x:v>
      </x:c>
      <x:c r="K2" s="5" t="str">
        <x:v>Milestone Release Plan</x:v>
      </x:c>
      <x:c r="L2" s="5" t="str">
        <x:v>Milestone Release Plan</x:v>
      </x:c>
    </x:row>
    <x:row r="3" ht="34" customHeight="1">
      <x:c r="A3" s="14" t="str">
        <x:v>Every milestone is independently reviewable, but task entry requires its own approved dossier. Start/Target are proposed estimates in Asia/Kolkata. R10 remains blank until the approved storage trigger exists.</x:v>
      </x:c>
      <x:c r="B3" s="15" t="str">
        <x:v>Every milestone is independently reviewable, but task entry requires its own approved dossier. Start/Target are proposed estimates in Asia/Kolkata. R10 remains blank until the approved storage trigger exists.</x:v>
      </x:c>
      <x:c r="C3" s="15" t="str">
        <x:v>Every milestone is independently reviewable, but task entry requires its own approved dossier. Start/Target are proposed estimates in Asia/Kolkata. R10 remains blank until the approved storage trigger exists.</x:v>
      </x:c>
      <x:c r="D3" s="15" t="str">
        <x:v>Every milestone is independently reviewable, but task entry requires its own approved dossier. Start/Target are proposed estimates in Asia/Kolkata. R10 remains blank until the approved storage trigger exists.</x:v>
      </x:c>
      <x:c r="E3" s="15" t="str">
        <x:v>Every milestone is independently reviewable, but task entry requires its own approved dossier. Start/Target are proposed estimates in Asia/Kolkata. R10 remains blank until the approved storage trigger exists.</x:v>
      </x:c>
      <x:c r="F3" s="15" t="str">
        <x:v>Every milestone is independently reviewable, but task entry requires its own approved dossier. Start/Target are proposed estimates in Asia/Kolkata. R10 remains blank until the approved storage trigger exists.</x:v>
      </x:c>
      <x:c r="G3" s="15" t="str">
        <x:v>Every milestone is independently reviewable, but task entry requires its own approved dossier. Start/Target are proposed estimates in Asia/Kolkata. R10 remains blank until the approved storage trigger exists.</x:v>
      </x:c>
      <x:c r="H3" s="15" t="str">
        <x:v>Every milestone is independently reviewable, but task entry requires its own approved dossier. Start/Target are proposed estimates in Asia/Kolkata. R10 remains blank until the approved storage trigger exists.</x:v>
      </x:c>
      <x:c r="I3" s="15" t="str">
        <x:v>Every milestone is independently reviewable, but task entry requires its own approved dossier. Start/Target are proposed estimates in Asia/Kolkata. R10 remains blank until the approved storage trigger exists.</x:v>
      </x:c>
      <x:c r="J3" s="15" t="str">
        <x:v>Every milestone is independently reviewable, but task entry requires its own approved dossier. Start/Target are proposed estimates in Asia/Kolkata. R10 remains blank until the approved storage trigger exists.</x:v>
      </x:c>
      <x:c r="K3" s="15" t="str">
        <x:v>Every milestone is independently reviewable, but task entry requires its own approved dossier. Start/Target are proposed estimates in Asia/Kolkata. R10 remains blank until the approved storage trigger exists.</x:v>
      </x:c>
      <x:c r="L3" s="16" t="str">
        <x:v>Every milestone is independently reviewable, but task entry requires its own approved dossier. Start/Target are proposed estimates in Asia/Kolkata. R10 remains blank until the approved storage trigger exists.</x:v>
      </x:c>
    </x:row>
    <x:row r="5" ht="30" customHeight="1">
      <x:c r="A5" s="22" t="str">
        <x:v>Milestone</x:v>
      </x:c>
      <x:c r="B5" s="22" t="str">
        <x:v>Release</x:v>
      </x:c>
      <x:c r="C5" s="22" t="str">
        <x:v>Start</x:v>
      </x:c>
      <x:c r="D5" s="22" t="str">
        <x:v>Target</x:v>
      </x:c>
      <x:c r="E5" s="22" t="str">
        <x:v>Days</x:v>
      </x:c>
      <x:c r="F5" s="22" t="str">
        <x:v>Meaningful outcome</x:v>
      </x:c>
      <x:c r="G5" s="22" t="str">
        <x:v>Exit evidence</x:v>
      </x:c>
      <x:c r="H5" s="22" t="str">
        <x:v>Entry dependency</x:v>
      </x:c>
      <x:c r="I5" s="22" t="str">
        <x:v>Date basis</x:v>
      </x:c>
      <x:c r="J5" s="22" t="str">
        <x:v>Tasks</x:v>
      </x:c>
      <x:c r="K5" s="22" t="str">
        <x:v>Dossiers Ready</x:v>
      </x:c>
      <x:c r="L5" s="22" t="str">
        <x:v>Execution allowed</x:v>
      </x:c>
    </x:row>
    <x:row r="6" ht="62" customHeight="1">
      <x:c r="A6" s="41" t="str">
        <x:v>P0</x:v>
      </x:c>
      <x:c r="B6" s="26" t="str">
        <x:v>Council Planning Baseline</x:v>
      </x:c>
      <x:c r="C6" s="35" t="n">
        <x:v>46248</x:v>
      </x:c>
      <x:c r="D6" s="35" t="n">
        <x:v>46250</x:v>
      </x:c>
      <x:c r="E6" s="26" t="n">
        <x:f>IF(OR(C6="",D6=""),"",D6-C6+1)</x:f>
        <x:v>3</x:v>
      </x:c>
      <x:c r="F6" s="26" t="str">
        <x:v>A source-grounded, reviewable Product Council package and one canonical delivery manifest.</x:v>
      </x:c>
      <x:c r="G6" s="26" t="str">
        <x:v>Council reviews, source hashes, requirement coverage, workbook, and GitHub roadmap agree.</x:v>
      </x:c>
      <x:c r="H6" s="26" t="str">
        <x:v>None</x:v>
      </x:c>
      <x:c r="I6" s="26" t="str">
        <x:v>Estimate; evidence gates control</x:v>
      </x:c>
      <x:c r="J6" s="26" t="n">
        <x:f>COUNTIF('Roadmap Tasks'!$G$6:$G$63,A6)</x:f>
        <x:v>2</x:v>
      </x:c>
      <x:c r="K6" s="26" t="n">
        <x:f>COUNTIFS('Roadmap Tasks'!$G$6:$G$63,A6,'Roadmap Tasks'!$D$6:$D$63,"Ready")</x:f>
        <x:v>0</x:v>
      </x:c>
      <x:c r="L6" s="26" t="n">
        <x:f>COUNTIFS('Roadmap Tasks'!$G$6:$G$63,A6,'Roadmap Tasks'!$E$6:$E$63,"Yes")</x:f>
        <x:v>0</x:v>
      </x:c>
    </x:row>
    <x:row r="7" ht="62" customHeight="1">
      <x:c r="A7" s="41" t="str">
        <x:v>R0</x:v>
      </x:c>
      <x:c r="B7" s="26" t="str">
        <x:v>Shared-Host Private Foundation</x:v>
      </x:c>
      <x:c r="C7" s="35" t="n">
        <x:v>46251</x:v>
      </x:c>
      <x:c r="D7" s="35" t="n">
        <x:v>46262</x:v>
      </x:c>
      <x:c r="E7" s="26" t="n">
        <x:f>IF(OR(C7="",D7=""),"",D7-C7+1)</x:f>
        <x:v>12</x:v>
      </x:c>
      <x:c r="F7" s="26" t="str">
        <x:v>A synthetic-only private shell can coexist with current services, recover, upgrade, and roll back.</x:v>
      </x:c>
      <x:c r="G7" s="26" t="str">
        <x:v>Owner access/denial, sanitized capacity and non-regression evidence, encrypted synthetic restore, and rollback proof.</x:v>
      </x:c>
      <x:c r="H7" s="26" t="str">
        <x:v>P0 accepted</x:v>
      </x:c>
      <x:c r="I7" s="26" t="str">
        <x:v>Estimate; evidence gates control</x:v>
      </x:c>
      <x:c r="J7" s="26" t="n">
        <x:f>COUNTIF('Roadmap Tasks'!$G$6:$G$63,A7)</x:f>
        <x:v>6</x:v>
      </x:c>
      <x:c r="K7" s="26" t="n">
        <x:f>COUNTIFS('Roadmap Tasks'!$G$6:$G$63,A7,'Roadmap Tasks'!$D$6:$D$63,"Ready")</x:f>
        <x:v>0</x:v>
      </x:c>
      <x:c r="L7" s="26" t="n">
        <x:f>COUNTIFS('Roadmap Tasks'!$G$6:$G$63,A7,'Roadmap Tasks'!$E$6:$E$63,"Yes")</x:f>
        <x:v>0</x:v>
      </x:c>
    </x:row>
    <x:row r="8" ht="62" customHeight="1">
      <x:c r="A8" s="41" t="str">
        <x:v>R1</x:v>
      </x:c>
      <x:c r="B8" s="26" t="str">
        <x:v>Manual Journal Archive</x:v>
      </x:c>
      <x:c r="C8" s="35" t="n">
        <x:v>46265</x:v>
      </x:c>
      <x:c r="D8" s="35" t="n">
        <x:v>46283</x:v>
      </x:c>
      <x:c r="E8" s="26" t="n">
        <x:f>IF(OR(C8="",D8=""),"",D8-C8+1)</x:f>
        <x:v>19</x:v>
      </x:c>
      <x:c r="F8" s="26" t="str">
        <x:v>First memory-creating release: explicit-date text upload, Calendar, and Journal Day recall.</x:v>
      </x:c>
      <x:c r="G8" s="26" t="str">
        <x:v>An owner-approved text fixture survives ingestion, restart, backup, restore, and export/checksum validation.</x:v>
      </x:c>
      <x:c r="H8" s="26" t="str">
        <x:v>R0 accepted</x:v>
      </x:c>
      <x:c r="I8" s="26" t="str">
        <x:v>Estimate; evidence gates control</x:v>
      </x:c>
      <x:c r="J8" s="26" t="n">
        <x:f>COUNTIF('Roadmap Tasks'!$G$6:$G$63,A8)</x:f>
        <x:v>5</x:v>
      </x:c>
      <x:c r="K8" s="26" t="n">
        <x:f>COUNTIFS('Roadmap Tasks'!$G$6:$G$63,A8,'Roadmap Tasks'!$D$6:$D$63,"Ready")</x:f>
        <x:v>0</x:v>
      </x:c>
      <x:c r="L8" s="26" t="n">
        <x:f>COUNTIFS('Roadmap Tasks'!$G$6:$G$63,A8,'Roadmap Tasks'!$E$6:$E$63,"Yes")</x:f>
        <x:v>0</x:v>
      </x:c>
    </x:row>
    <x:row r="9" ht="62" customHeight="1">
      <x:c r="A9" s="41" t="str">
        <x:v>R2</x:v>
      </x:c>
      <x:c r="B9" s="26" t="str">
        <x:v>Telegram Photo Capture</x:v>
      </x:c>
      <x:c r="C9" s="35" t="n">
        <x:v>46286</x:v>
      </x:c>
      <x:c r="D9" s="35" t="n">
        <x:v>46304</x:v>
      </x:c>
      <x:c r="E9" s="26" t="n">
        <x:f>IF(OR(C9="",D9=""),"",D9-C9+1)</x:f>
        <x:v>19</x:v>
      </x:c>
      <x:c r="F9" s="26" t="str">
        <x:v>Authorized durable photo capture with review-safe dating, gallery, cover, duplicates, and privacy-safe derivatives.</x:v>
      </x:c>
      <x:c r="G9" s="26" t="str">
        <x:v>Authorization, invalid media/date, album, duplicate, cover, Original, privacy, backup, and restore fixtures pass.</x:v>
      </x:c>
      <x:c r="H9" s="26" t="str">
        <x:v>R1 accepted</x:v>
      </x:c>
      <x:c r="I9" s="26" t="str">
        <x:v>Estimate; evidence gates control</x:v>
      </x:c>
      <x:c r="J9" s="26" t="n">
        <x:f>COUNTIF('Roadmap Tasks'!$G$6:$G$63,A9)</x:f>
        <x:v>6</x:v>
      </x:c>
      <x:c r="K9" s="26" t="n">
        <x:f>COUNTIFS('Roadmap Tasks'!$G$6:$G$63,A9,'Roadmap Tasks'!$D$6:$D$63,"Ready")</x:f>
        <x:v>0</x:v>
      </x:c>
      <x:c r="L9" s="26" t="n">
        <x:f>COUNTIFS('Roadmap Tasks'!$G$6:$G$63,A9,'Roadmap Tasks'!$E$6:$E$63,"Yes")</x:f>
        <x:v>0</x:v>
      </x:c>
    </x:row>
    <x:row r="10" ht="62" customHeight="1">
      <x:c r="A10" s="41" t="str">
        <x:v>R3</x:v>
      </x:c>
      <x:c r="B10" s="26" t="str">
        <x:v>Retrieval and Date Integrity</x:v>
      </x:c>
      <x:c r="C10" s="35" t="n">
        <x:v>46307</x:v>
      </x:c>
      <x:c r="D10" s="35" t="n">
        <x:v>46325</x:v>
      </x:c>
      <x:c r="E10" s="26" t="n">
        <x:f>IF(OR(C10="",D10=""),"",D10-C10+1)</x:f>
        <x:v>19</x:v>
      </x:c>
      <x:c r="F10" s="26" t="str">
        <x:v>Cross-month browsing, deterministic search, Needs Date Review, and atomic source redating.</x:v>
      </x:c>
      <x:c r="G10" s="26" t="str">
        <x:v>Known queries work without leakage and a redated item updates both days and restored indexes atomically.</x:v>
      </x:c>
      <x:c r="H10" s="26" t="str">
        <x:v>R2 accepted</x:v>
      </x:c>
      <x:c r="I10" s="26" t="str">
        <x:v>Estimate; evidence gates control</x:v>
      </x:c>
      <x:c r="J10" s="26" t="n">
        <x:f>COUNTIF('Roadmap Tasks'!$G$6:$G$63,A10)</x:f>
        <x:v>5</x:v>
      </x:c>
      <x:c r="K10" s="26" t="n">
        <x:f>COUNTIFS('Roadmap Tasks'!$G$6:$G$63,A10,'Roadmap Tasks'!$D$6:$D$63,"Ready")</x:f>
        <x:v>0</x:v>
      </x:c>
      <x:c r="L10" s="26" t="n">
        <x:f>COUNTIFS('Roadmap Tasks'!$G$6:$G$63,A10,'Roadmap Tasks'!$E$6:$E$63,"Yes")</x:f>
        <x:v>0</x:v>
      </x:c>
    </x:row>
    <x:row r="11" ht="62" customHeight="1">
      <x:c r="A11" s="41" t="str">
        <x:v>R4</x:v>
      </x:c>
      <x:c r="B11" s="26" t="str">
        <x:v>Source History and Lifecycle Safety</x:v>
      </x:c>
      <x:c r="C11" s="35" t="n">
        <x:v>46328</x:v>
      </x:c>
      <x:c r="D11" s="35" t="n">
        <x:v>46346</x:v>
      </x:c>
      <x:c r="E11" s="26" t="n">
        <x:f>IF(OR(C11="",D11=""),"",D11-C11+1)</x:f>
        <x:v>19</x:v>
      </x:c>
      <x:c r="F11" s="26" t="str">
        <x:v>Corrections, upstream conflicts, History, Trash, suppressions, and complete restorable export.</x:v>
      </x:c>
      <x:c r="G11" s="26" t="str">
        <x:v>Three conflict outcomes and delete/restore/export/import invariants pass across every existing data shape.</x:v>
      </x:c>
      <x:c r="H11" s="26" t="str">
        <x:v>R3 accepted</x:v>
      </x:c>
      <x:c r="I11" s="26" t="str">
        <x:v>Estimate; evidence gates control</x:v>
      </x:c>
      <x:c r="J11" s="26" t="n">
        <x:f>COUNTIF('Roadmap Tasks'!$G$6:$G$63,A11)</x:f>
        <x:v>6</x:v>
      </x:c>
      <x:c r="K11" s="26" t="n">
        <x:f>COUNTIFS('Roadmap Tasks'!$G$6:$G$63,A11,'Roadmap Tasks'!$D$6:$D$63,"Ready")</x:f>
        <x:v>0</x:v>
      </x:c>
      <x:c r="L11" s="26" t="n">
        <x:f>COUNTIFS('Roadmap Tasks'!$G$6:$G$63,A11,'Roadmap Tasks'!$E$6:$E$63,"Yes")</x:f>
        <x:v>0</x:v>
      </x:c>
    </x:row>
    <x:row r="12" ht="62" customHeight="1">
      <x:c r="A12" s="41" t="str">
        <x:v>R5</x:v>
      </x:c>
      <x:c r="B12" s="26" t="str">
        <x:v>Prospective VoiceNotes Sync</x:v>
      </x:c>
      <x:c r="C12" s="35" t="n">
        <x:v>46349</x:v>
      </x:c>
      <x:c r="D12" s="35" t="n">
        <x:v>46367</x:v>
      </x:c>
      <x:c r="E12" s="26" t="n">
        <x:f>IF(OR(C12="",D12=""),"",D12-C12+1)</x:f>
        <x:v>19</x:v>
      </x:c>
      <x:c r="F12" s="26" t="str">
        <x:v>Spike-proven, prospective-only VoiceNotes retrieval and replay-safe reconciliation.</x:v>
      </x:c>
      <x:c r="G12" s="26" t="str">
        <x:v>Synthetic contract, activation, eligibility, dating, replay, suppression, upstream revision, and restore gates pass.</x:v>
      </x:c>
      <x:c r="H12" s="26" t="str">
        <x:v>R4 accepted and VoiceNotes synthetic contract spike passes</x:v>
      </x:c>
      <x:c r="I12" s="26" t="str">
        <x:v>Estimate; evidence gates control</x:v>
      </x:c>
      <x:c r="J12" s="26" t="n">
        <x:f>COUNTIF('Roadmap Tasks'!$G$6:$G$63,A12)</x:f>
        <x:v>6</x:v>
      </x:c>
      <x:c r="K12" s="26" t="n">
        <x:f>COUNTIFS('Roadmap Tasks'!$G$6:$G$63,A12,'Roadmap Tasks'!$D$6:$D$63,"Ready")</x:f>
        <x:v>0</x:v>
      </x:c>
      <x:c r="L12" s="26" t="n">
        <x:f>COUNTIFS('Roadmap Tasks'!$G$6:$G$63,A12,'Roadmap Tasks'!$E$6:$E$63,"Yes")</x:f>
        <x:v>0</x:v>
      </x:c>
    </x:row>
    <x:row r="13" ht="62" customHeight="1">
      <x:c r="A13" s="41" t="str">
        <x:v>R6</x:v>
      </x:c>
      <x:c r="B13" s="26" t="str">
        <x:v>Generated Text Reflection</x:v>
      </x:c>
      <x:c r="C13" s="35" t="n">
        <x:v>46370</x:v>
      </x:c>
      <x:c r="D13" s="35" t="n">
        <x:v>46395</x:v>
      </x:c>
      <x:c r="E13" s="26" t="n">
        <x:f>IF(OR(C13="",D13=""),"",D13-C13+1)</x:f>
        <x:v>26</x:v>
      </x:c>
      <x:c r="F13" s="26" t="str">
        <x:v>Optional evaluated titles, summaries, tags, and Visual Briefs with protection, provenance, and budget enforcement.</x:v>
      </x:c>
      <x:c r="G13" s="26" t="str">
        <x:v>Evaluation, typed privacy allowlist, field protection, source-race, failure, spend, and restore gates pass.</x:v>
      </x:c>
      <x:c r="H13" s="26" t="str">
        <x:v>R5 accepted and text-model evaluation passes</x:v>
      </x:c>
      <x:c r="I13" s="26" t="str">
        <x:v>Estimate; evidence gates control</x:v>
      </x:c>
      <x:c r="J13" s="26" t="n">
        <x:f>COUNTIF('Roadmap Tasks'!$G$6:$G$63,A13)</x:f>
        <x:v>6</x:v>
      </x:c>
      <x:c r="K13" s="26" t="n">
        <x:f>COUNTIFS('Roadmap Tasks'!$G$6:$G$63,A13,'Roadmap Tasks'!$D$6:$D$63,"Ready")</x:f>
        <x:v>0</x:v>
      </x:c>
      <x:c r="L13" s="26" t="n">
        <x:f>COUNTIFS('Roadmap Tasks'!$G$6:$G$63,A13,'Roadmap Tasks'!$E$6:$E$63,"Yes")</x:f>
        <x:v>0</x:v>
      </x:c>
    </x:row>
    <x:row r="14" ht="62" customHeight="1">
      <x:c r="A14" s="41" t="str">
        <x:v>R7</x:v>
      </x:c>
      <x:c r="B14" s="26" t="str">
        <x:v>Generated Artwork</x:v>
      </x:c>
      <x:c r="C14" s="35" t="n">
        <x:v>46398</x:v>
      </x:c>
      <x:c r="D14" s="35" t="n">
        <x:v>46416</x:v>
      </x:c>
      <x:c r="E14" s="26" t="n">
        <x:f>IF(OR(C14="",D14=""),"",D14-C14+1)</x:f>
        <x:v>19</x:v>
      </x:c>
      <x:c r="F14" s="26" t="str">
        <x:v>Optional evaluated symbolic artwork with explicit preflight, versions, suppression, and real-photo cover precedence.</x:v>
      </x:c>
      <x:c r="G14" s="26" t="str">
        <x:v>Evaluation, safety, cost, lifecycle, labeling, privacy, cover, and restore gates pass.</x:v>
      </x:c>
      <x:c r="H14" s="26" t="str">
        <x:v>R6 accepted and artwork-model evaluation passes</x:v>
      </x:c>
      <x:c r="I14" s="26" t="str">
        <x:v>Estimate; evidence gates control</x:v>
      </x:c>
      <x:c r="J14" s="26" t="n">
        <x:f>COUNTIF('Roadmap Tasks'!$G$6:$G$63,A14)</x:f>
        <x:v>6</x:v>
      </x:c>
      <x:c r="K14" s="26" t="n">
        <x:f>COUNTIFS('Roadmap Tasks'!$G$6:$G$63,A14,'Roadmap Tasks'!$D$6:$D$63,"Ready")</x:f>
        <x:v>0</x:v>
      </x:c>
      <x:c r="L14" s="26" t="n">
        <x:f>COUNTIFS('Roadmap Tasks'!$G$6:$G$63,A14,'Roadmap Tasks'!$E$6:$E$63,"Yes")</x:f>
        <x:v>0</x:v>
      </x:c>
    </x:row>
    <x:row r="15" ht="62" customHeight="1">
      <x:c r="A15" s="41" t="str">
        <x:v>R8</x:v>
      </x:c>
      <x:c r="B15" s="26" t="str">
        <x:v>Operational Scale and Resilience</x:v>
      </x:c>
      <x:c r="C15" s="35" t="n">
        <x:v>46419</x:v>
      </x:c>
      <x:c r="D15" s="35" t="n">
        <x:v>46437</x:v>
      </x:c>
      <x:c r="E15" s="26" t="n">
        <x:f>IF(OR(C15="",D15=""),"",D15-C15+1)</x:f>
        <x:v>19</x:v>
      </x:c>
      <x:c r="F15" s="26" t="str">
        <x:v>The integrated archive degrades safely under dependency, capacity, restart, and job failures.</x:v>
      </x:c>
      <x:c r="G15" s="26" t="str">
        <x:v>Watermark, restart, alert, fault, backup/restore, security, browser, and accessibility evidence passes.</x:v>
      </x:c>
      <x:c r="H15" s="26" t="str">
        <x:v>R0 through R7 accepted</x:v>
      </x:c>
      <x:c r="I15" s="26" t="str">
        <x:v>Estimate; evidence gates control</x:v>
      </x:c>
      <x:c r="J15" s="26" t="n">
        <x:f>COUNTIF('Roadmap Tasks'!$G$6:$G$63,A15)</x:f>
        <x:v>4</x:v>
      </x:c>
      <x:c r="K15" s="26" t="n">
        <x:f>COUNTIFS('Roadmap Tasks'!$G$6:$G$63,A15,'Roadmap Tasks'!$D$6:$D$63,"Ready")</x:f>
        <x:v>0</x:v>
      </x:c>
      <x:c r="L15" s="26" t="n">
        <x:f>COUNTIFS('Roadmap Tasks'!$G$6:$G$63,A15,'Roadmap Tasks'!$E$6:$E$63,"Yes")</x:f>
        <x:v>0</x:v>
      </x:c>
    </x:row>
    <x:row r="16" ht="62" customHeight="1">
      <x:c r="A16" s="41" t="str">
        <x:v>R9</x:v>
      </x:c>
      <x:c r="B16" s="26" t="str">
        <x:v>Private Launch Acceptance and Stabilization</x:v>
      </x:c>
      <x:c r="C16" s="35" t="n">
        <x:v>46440</x:v>
      </x:c>
      <x:c r="D16" s="35" t="n">
        <x:v>46458</x:v>
      </x:c>
      <x:c r="E16" s="26" t="n">
        <x:f>IF(OR(C16="",D16=""),"",D16-C16+1)</x:f>
        <x:v>19</x:v>
      </x:c>
      <x:c r="F16" s="26" t="str">
        <x:v>The complete private archive is owner-accepted for routine personal use and stabilized without new scope.</x:v>
      </x:c>
      <x:c r="G16" s="26" t="str">
        <x:v>Owner UAT, Recovery Ceremony, observation window, severity gate, and go/no-go or rollback record pass.</x:v>
      </x:c>
      <x:c r="H16" s="26" t="str">
        <x:v>R8 accepted and explicit launch authority</x:v>
      </x:c>
      <x:c r="I16" s="26" t="str">
        <x:v>Estimate; evidence gates control</x:v>
      </x:c>
      <x:c r="J16" s="26" t="n">
        <x:f>COUNTIF('Roadmap Tasks'!$G$6:$G$63,A16)</x:f>
        <x:v>3</x:v>
      </x:c>
      <x:c r="K16" s="26" t="n">
        <x:f>COUNTIFS('Roadmap Tasks'!$G$6:$G$63,A16,'Roadmap Tasks'!$D$6:$D$63,"Ready")</x:f>
        <x:v>0</x:v>
      </x:c>
      <x:c r="L16" s="26" t="n">
        <x:f>COUNTIFS('Roadmap Tasks'!$G$6:$G$63,A16,'Roadmap Tasks'!$E$6:$E$63,"Yes")</x:f>
        <x:v>0</x:v>
      </x:c>
    </x:row>
    <x:row r="17" ht="62" customHeight="1">
      <x:c r="A17" s="41" t="str">
        <x:v>R10</x:v>
      </x:c>
      <x:c r="B17" s="26" t="str">
        <x:v>Conditional Object-store Transition</x:v>
      </x:c>
      <x:c r="C17" s="35"/>
      <x:c r="D17" s="35"/>
      <x:c r="E17" s="26" t="str">
        <x:f>IF(OR(C17="",D17=""),"",D17-C17+1)</x:f>
      </x:c>
      <x:c r="F17" s="26" t="str">
        <x:v>Live encrypted media moves only after approved local-capacity watermarks trigger a reversible transition.</x:v>
      </x:c>
      <x:c r="G17" s="26" t="str">
        <x:v>Trigger, inventory, dual-write, reconciliation, restore, observed reads, cutover, and rollback gates pass.</x:v>
      </x:c>
      <x:c r="H17" s="26" t="str">
        <x:v>Measured storage trigger; no calendar commitment</x:v>
      </x:c>
      <x:c r="I17" s="26" t="str">
        <x:v>Trigger-only; no commitment</x:v>
      </x:c>
      <x:c r="J17" s="26" t="n">
        <x:f>COUNTIF('Roadmap Tasks'!$G$6:$G$63,A17)</x:f>
        <x:v>3</x:v>
      </x:c>
      <x:c r="K17" s="26" t="n">
        <x:f>COUNTIFS('Roadmap Tasks'!$G$6:$G$63,A17,'Roadmap Tasks'!$D$6:$D$63,"Ready")</x:f>
        <x:v>0</x:v>
      </x:c>
      <x:c r="L17" s="26" t="n">
        <x:f>COUNTIFS('Roadmap Tasks'!$G$6:$G$63,A17,'Roadmap Tasks'!$E$6:$E$63,"Yes")</x:f>
        <x:v>0</x:v>
      </x:c>
    </x:row>
  </x:sheetData>
  <x:mergeCells>
    <x:mergeCell ref="A1:L2"/>
    <x:mergeCell ref="A3:L3"/>
  </x:mergeCells>
  <x:pageMargins left="0.7" right="0.7" top="0.75" bottom="0.75" header="0.3" footer="0.3"/>
  <x:tableParts count="1">
    <x:tablePart xmlns:r="http://schemas.openxmlformats.org/officeDocument/2006/relationships" r:id="R04f062ee2554485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34" hidden="0" customWidth="1"/>
    <x:col min="3" max="3" width="14" hidden="0" customWidth="1"/>
    <x:col min="4" max="4" width="17" hidden="0" customWidth="1"/>
    <x:col min="5" max="5" width="14" hidden="0" customWidth="1"/>
    <x:col min="6" max="6" width="38" hidden="0" customWidth="1"/>
    <x:col min="7" max="7" width="11" hidden="0" customWidth="1"/>
    <x:col min="8" max="8" width="19" hidden="0" customWidth="1"/>
    <x:col min="9" max="9" width="28" hidden="0" customWidth="1"/>
    <x:col min="10" max="10" width="11" hidden="0" customWidth="1"/>
    <x:col min="11" max="11" width="13" hidden="0" customWidth="1"/>
    <x:col min="12" max="12" width="13" hidden="0" customWidth="1"/>
    <x:col min="13" max="13" width="8" hidden="0" customWidth="1"/>
    <x:col min="14" max="14" width="38" hidden="0" customWidth="1"/>
    <x:col min="15" max="15" width="27" hidden="0" customWidth="1"/>
    <x:col min="16" max="16" width="42" hidden="0" customWidth="1"/>
    <x:col min="17" max="17" width="42" hidden="0" customWidth="1"/>
    <x:col min="18" max="18" width="42" hidden="0" customWidth="1"/>
    <x:col min="19" max="19" width="42" hidden="0" customWidth="1"/>
    <x:col min="20" max="20" width="42" hidden="0" customWidth="1"/>
    <x:col min="21" max="21" width="42" hidden="0" customWidth="1"/>
    <x:col min="22" max="22" width="42" hidden="0" customWidth="1"/>
    <x:col min="23" max="23" width="42" hidden="0" customWidth="1"/>
    <x:col min="24" max="24" width="42" hidden="0" customWidth="1"/>
    <x:col min="25" max="25" width="48" hidden="0" customWidth="1"/>
    <x:col min="26" max="26" width="52" hidden="0" customWidth="1"/>
    <x:col min="27" max="27" width="52" hidden="0" customWidth="1"/>
    <x:col min="28" max="28" width="52" hidden="0" customWidth="1"/>
    <x:col min="29" max="29" width="28" hidden="0" customWidth="1"/>
  </x:cols>
  <x:sheetData>
    <x:row r="1" ht="28" customHeight="1">
      <x:c r="A1" s="5" t="str">
        <x:v>Detailed Roadmap Tasks — 58 Work Packages</x:v>
      </x:c>
      <x:c r="B1" s="5" t="str">
        <x:v>Detailed Roadmap Tasks — 58 Work Packages</x:v>
      </x:c>
      <x:c r="C1" s="5" t="str">
        <x:v>Detailed Roadmap Tasks — 58 Work Packages</x:v>
      </x:c>
      <x:c r="D1" s="5" t="str">
        <x:v>Detailed Roadmap Tasks — 58 Work Packages</x:v>
      </x:c>
      <x:c r="E1" s="5" t="str">
        <x:v>Detailed Roadmap Tasks — 58 Work Packages</x:v>
      </x:c>
      <x:c r="F1" s="5" t="str">
        <x:v>Detailed Roadmap Tasks — 58 Work Packages</x:v>
      </x:c>
      <x:c r="G1" s="5" t="str">
        <x:v>Detailed Roadmap Tasks — 58 Work Packages</x:v>
      </x:c>
      <x:c r="H1" s="5" t="str">
        <x:v>Detailed Roadmap Tasks — 58 Work Packages</x:v>
      </x:c>
      <x:c r="I1" s="5" t="str">
        <x:v>Detailed Roadmap Tasks — 58 Work Packages</x:v>
      </x:c>
      <x:c r="J1" s="5" t="str">
        <x:v>Detailed Roadmap Tasks — 58 Work Packages</x:v>
      </x:c>
      <x:c r="K1" s="5" t="str">
        <x:v>Detailed Roadmap Tasks — 58 Work Packages</x:v>
      </x:c>
      <x:c r="L1" s="5" t="str">
        <x:v>Detailed Roadmap Tasks — 58 Work Packages</x:v>
      </x:c>
      <x:c r="M1" s="5" t="str">
        <x:v>Detailed Roadmap Tasks — 58 Work Packages</x:v>
      </x:c>
      <x:c r="N1" s="5" t="str">
        <x:v>Detailed Roadmap Tasks — 58 Work Packages</x:v>
      </x:c>
      <x:c r="O1" s="5" t="str">
        <x:v>Detailed Roadmap Tasks — 58 Work Packages</x:v>
      </x:c>
      <x:c r="P1" s="5" t="str">
        <x:v>Detailed Roadmap Tasks — 58 Work Packages</x:v>
      </x:c>
      <x:c r="Q1" s="5" t="str">
        <x:v>Detailed Roadmap Tasks — 58 Work Packages</x:v>
      </x:c>
      <x:c r="R1" s="5" t="str">
        <x:v>Detailed Roadmap Tasks — 58 Work Packages</x:v>
      </x:c>
      <x:c r="S1" s="5" t="str">
        <x:v>Detailed Roadmap Tasks — 58 Work Packages</x:v>
      </x:c>
      <x:c r="T1" s="5" t="str">
        <x:v>Detailed Roadmap Tasks — 58 Work Packages</x:v>
      </x:c>
      <x:c r="U1" s="5" t="str">
        <x:v>Detailed Roadmap Tasks — 58 Work Packages</x:v>
      </x:c>
      <x:c r="V1" s="5" t="str">
        <x:v>Detailed Roadmap Tasks — 58 Work Packages</x:v>
      </x:c>
      <x:c r="W1" s="5" t="str">
        <x:v>Detailed Roadmap Tasks — 58 Work Packages</x:v>
      </x:c>
      <x:c r="X1" s="5" t="str">
        <x:v>Detailed Roadmap Tasks — 58 Work Packages</x:v>
      </x:c>
      <x:c r="Y1" s="5" t="str">
        <x:v>Detailed Roadmap Tasks — 58 Work Packages</x:v>
      </x:c>
      <x:c r="Z1" s="5" t="str">
        <x:v>Detailed Roadmap Tasks — 58 Work Packages</x:v>
      </x:c>
      <x:c r="AA1" s="5" t="str">
        <x:v>Detailed Roadmap Tasks — 58 Work Packages</x:v>
      </x:c>
      <x:c r="AB1" s="5" t="str">
        <x:v>Detailed Roadmap Tasks — 58 Work Packages</x:v>
      </x:c>
      <x:c r="AC1" s="5" t="str">
        <x:v>Detailed Roadmap Tasks — 58 Work Packages</x:v>
      </x:c>
    </x:row>
    <x:row r="2" ht="28" customHeight="1">
      <x:c r="A2" s="5" t="str">
        <x:v>Detailed Roadmap Tasks — 58 Work Packages</x:v>
      </x:c>
      <x:c r="B2" s="5" t="str">
        <x:v>Detailed Roadmap Tasks — 58 Work Packages</x:v>
      </x:c>
      <x:c r="C2" s="5" t="str">
        <x:v>Detailed Roadmap Tasks — 58 Work Packages</x:v>
      </x:c>
      <x:c r="D2" s="5" t="str">
        <x:v>Detailed Roadmap Tasks — 58 Work Packages</x:v>
      </x:c>
      <x:c r="E2" s="5" t="str">
        <x:v>Detailed Roadmap Tasks — 58 Work Packages</x:v>
      </x:c>
      <x:c r="F2" s="5" t="str">
        <x:v>Detailed Roadmap Tasks — 58 Work Packages</x:v>
      </x:c>
      <x:c r="G2" s="5" t="str">
        <x:v>Detailed Roadmap Tasks — 58 Work Packages</x:v>
      </x:c>
      <x:c r="H2" s="5" t="str">
        <x:v>Detailed Roadmap Tasks — 58 Work Packages</x:v>
      </x:c>
      <x:c r="I2" s="5" t="str">
        <x:v>Detailed Roadmap Tasks — 58 Work Packages</x:v>
      </x:c>
      <x:c r="J2" s="5" t="str">
        <x:v>Detailed Roadmap Tasks — 58 Work Packages</x:v>
      </x:c>
      <x:c r="K2" s="5" t="str">
        <x:v>Detailed Roadmap Tasks — 58 Work Packages</x:v>
      </x:c>
      <x:c r="L2" s="5" t="str">
        <x:v>Detailed Roadmap Tasks — 58 Work Packages</x:v>
      </x:c>
      <x:c r="M2" s="5" t="str">
        <x:v>Detailed Roadmap Tasks — 58 Work Packages</x:v>
      </x:c>
      <x:c r="N2" s="5" t="str">
        <x:v>Detailed Roadmap Tasks — 58 Work Packages</x:v>
      </x:c>
      <x:c r="O2" s="5" t="str">
        <x:v>Detailed Roadmap Tasks — 58 Work Packages</x:v>
      </x:c>
      <x:c r="P2" s="5" t="str">
        <x:v>Detailed Roadmap Tasks — 58 Work Packages</x:v>
      </x:c>
      <x:c r="Q2" s="5" t="str">
        <x:v>Detailed Roadmap Tasks — 58 Work Packages</x:v>
      </x:c>
      <x:c r="R2" s="5" t="str">
        <x:v>Detailed Roadmap Tasks — 58 Work Packages</x:v>
      </x:c>
      <x:c r="S2" s="5" t="str">
        <x:v>Detailed Roadmap Tasks — 58 Work Packages</x:v>
      </x:c>
      <x:c r="T2" s="5" t="str">
        <x:v>Detailed Roadmap Tasks — 58 Work Packages</x:v>
      </x:c>
      <x:c r="U2" s="5" t="str">
        <x:v>Detailed Roadmap Tasks — 58 Work Packages</x:v>
      </x:c>
      <x:c r="V2" s="5" t="str">
        <x:v>Detailed Roadmap Tasks — 58 Work Packages</x:v>
      </x:c>
      <x:c r="W2" s="5" t="str">
        <x:v>Detailed Roadmap Tasks — 58 Work Packages</x:v>
      </x:c>
      <x:c r="X2" s="5" t="str">
        <x:v>Detailed Roadmap Tasks — 58 Work Packages</x:v>
      </x:c>
      <x:c r="Y2" s="5" t="str">
        <x:v>Detailed Roadmap Tasks — 58 Work Packages</x:v>
      </x:c>
      <x:c r="Z2" s="5" t="str">
        <x:v>Detailed Roadmap Tasks — 58 Work Packages</x:v>
      </x:c>
      <x:c r="AA2" s="5" t="str">
        <x:v>Detailed Roadmap Tasks — 58 Work Packages</x:v>
      </x:c>
      <x:c r="AB2" s="5" t="str">
        <x:v>Detailed Roadmap Tasks — 58 Work Packages</x:v>
      </x:c>
      <x:c r="AC2" s="5" t="str">
        <x:v>Detailed Roadmap Tasks — 58 Work Packages</x:v>
      </x:c>
    </x:row>
    <x:row r="3" ht="34" customHeight="1">
      <x:c r="A3" s="14" t="str">
        <x:v>Every stable task ID projects six P0-prefixed dossier artifacts into its existing issue and Roadmap item. Current control truth: 58 Incomplete; 45 Hold + 13 Historical non-authorizing; 0 Ready; 0 execution-allowed. Done on a planning item never implies implementation or deployment.</x:v>
      </x:c>
      <x:c r="B3" s="15" t="str">
        <x:v>Every stable task ID projects six P0-prefixed dossier artifacts into its existing issue and Roadmap item. Current control truth: 58 Incomplete; 45 Hold + 13 Historical non-authorizing; 0 Ready; 0 execution-allowed. Done on a planning item never implies implementation or deployment.</x:v>
      </x:c>
      <x:c r="C3" s="15" t="str">
        <x:v>Every stable task ID projects six P0-prefixed dossier artifacts into its existing issue and Roadmap item. Current control truth: 58 Incomplete; 45 Hold + 13 Historical non-authorizing; 0 Ready; 0 execution-allowed. Done on a planning item never implies implementation or deployment.</x:v>
      </x:c>
      <x:c r="D3" s="15" t="str">
        <x:v>Every stable task ID projects six P0-prefixed dossier artifacts into its existing issue and Roadmap item. Current control truth: 58 Incomplete; 45 Hold + 13 Historical non-authorizing; 0 Ready; 0 execution-allowed. Done on a planning item never implies implementation or deployment.</x:v>
      </x:c>
      <x:c r="E3" s="15" t="str">
        <x:v>Every stable task ID projects six P0-prefixed dossier artifacts into its existing issue and Roadmap item. Current control truth: 58 Incomplete; 45 Hold + 13 Historical non-authorizing; 0 Ready; 0 execution-allowed. Done on a planning item never implies implementation or deployment.</x:v>
      </x:c>
      <x:c r="F3" s="15" t="str">
        <x:v>Every stable task ID projects six P0-prefixed dossier artifacts into its existing issue and Roadmap item. Current control truth: 58 Incomplete; 45 Hold + 13 Historical non-authorizing; 0 Ready; 0 execution-allowed. Done on a planning item never implies implementation or deployment.</x:v>
      </x:c>
      <x:c r="G3" s="15" t="str">
        <x:v>Every stable task ID projects six P0-prefixed dossier artifacts into its existing issue and Roadmap item. Current control truth: 58 Incomplete; 45 Hold + 13 Historical non-authorizing; 0 Ready; 0 execution-allowed. Done on a planning item never implies implementation or deployment.</x:v>
      </x:c>
      <x:c r="H3" s="15" t="str">
        <x:v>Every stable task ID projects six P0-prefixed dossier artifacts into its existing issue and Roadmap item. Current control truth: 58 Incomplete; 45 Hold + 13 Historical non-authorizing; 0 Ready; 0 execution-allowed. Done on a planning item never implies implementation or deployment.</x:v>
      </x:c>
      <x:c r="I3" s="15" t="str">
        <x:v>Every stable task ID projects six P0-prefixed dossier artifacts into its existing issue and Roadmap item. Current control truth: 58 Incomplete; 45 Hold + 13 Historical non-authorizing; 0 Ready; 0 execution-allowed. Done on a planning item never implies implementation or deployment.</x:v>
      </x:c>
      <x:c r="J3" s="15" t="str">
        <x:v>Every stable task ID projects six P0-prefixed dossier artifacts into its existing issue and Roadmap item. Current control truth: 58 Incomplete; 45 Hold + 13 Historical non-authorizing; 0 Ready; 0 execution-allowed. Done on a planning item never implies implementation or deployment.</x:v>
      </x:c>
      <x:c r="K3" s="15" t="str">
        <x:v>Every stable task ID projects six P0-prefixed dossier artifacts into its existing issue and Roadmap item. Current control truth: 58 Incomplete; 45 Hold + 13 Historical non-authorizing; 0 Ready; 0 execution-allowed. Done on a planning item never implies implementation or deployment.</x:v>
      </x:c>
      <x:c r="L3" s="15" t="str">
        <x:v>Every stable task ID projects six P0-prefixed dossier artifacts into its existing issue and Roadmap item. Current control truth: 58 Incomplete; 45 Hold + 13 Historical non-authorizing; 0 Ready; 0 execution-allowed. Done on a planning item never implies implementation or deployment.</x:v>
      </x:c>
      <x:c r="M3" s="15" t="str">
        <x:v>Every stable task ID projects six P0-prefixed dossier artifacts into its existing issue and Roadmap item. Current control truth: 58 Incomplete; 45 Hold + 13 Historical non-authorizing; 0 Ready; 0 execution-allowed. Done on a planning item never implies implementation or deployment.</x:v>
      </x:c>
      <x:c r="N3" s="15" t="str">
        <x:v>Every stable task ID projects six P0-prefixed dossier artifacts into its existing issue and Roadmap item. Current control truth: 58 Incomplete; 45 Hold + 13 Historical non-authorizing; 0 Ready; 0 execution-allowed. Done on a planning item never implies implementation or deployment.</x:v>
      </x:c>
      <x:c r="O3" s="15" t="str">
        <x:v>Every stable task ID projects six P0-prefixed dossier artifacts into its existing issue and Roadmap item. Current control truth: 58 Incomplete; 45 Hold + 13 Historical non-authorizing; 0 Ready; 0 execution-allowed. Done on a planning item never implies implementation or deployment.</x:v>
      </x:c>
      <x:c r="P3" s="15" t="str">
        <x:v>Every stable task ID projects six P0-prefixed dossier artifacts into its existing issue and Roadmap item. Current control truth: 58 Incomplete; 45 Hold + 13 Historical non-authorizing; 0 Ready; 0 execution-allowed. Done on a planning item never implies implementation or deployment.</x:v>
      </x:c>
      <x:c r="Q3" s="15" t="str">
        <x:v>Every stable task ID projects six P0-prefixed dossier artifacts into its existing issue and Roadmap item. Current control truth: 58 Incomplete; 45 Hold + 13 Historical non-authorizing; 0 Ready; 0 execution-allowed. Done on a planning item never implies implementation or deployment.</x:v>
      </x:c>
      <x:c r="R3" s="15" t="str">
        <x:v>Every stable task ID projects six P0-prefixed dossier artifacts into its existing issue and Roadmap item. Current control truth: 58 Incomplete; 45 Hold + 13 Historical non-authorizing; 0 Ready; 0 execution-allowed. Done on a planning item never implies implementation or deployment.</x:v>
      </x:c>
      <x:c r="S3" s="15" t="str">
        <x:v>Every stable task ID projects six P0-prefixed dossier artifacts into its existing issue and Roadmap item. Current control truth: 58 Incomplete; 45 Hold + 13 Historical non-authorizing; 0 Ready; 0 execution-allowed. Done on a planning item never implies implementation or deployment.</x:v>
      </x:c>
      <x:c r="T3" s="15" t="str">
        <x:v>Every stable task ID projects six P0-prefixed dossier artifacts into its existing issue and Roadmap item. Current control truth: 58 Incomplete; 45 Hold + 13 Historical non-authorizing; 0 Ready; 0 execution-allowed. Done on a planning item never implies implementation or deployment.</x:v>
      </x:c>
      <x:c r="U3" s="15" t="str">
        <x:v>Every stable task ID projects six P0-prefixed dossier artifacts into its existing issue and Roadmap item. Current control truth: 58 Incomplete; 45 Hold + 13 Historical non-authorizing; 0 Ready; 0 execution-allowed. Done on a planning item never implies implementation or deployment.</x:v>
      </x:c>
      <x:c r="V3" s="15" t="str">
        <x:v>Every stable task ID projects six P0-prefixed dossier artifacts into its existing issue and Roadmap item. Current control truth: 58 Incomplete; 45 Hold + 13 Historical non-authorizing; 0 Ready; 0 execution-allowed. Done on a planning item never implies implementation or deployment.</x:v>
      </x:c>
      <x:c r="W3" s="15" t="str">
        <x:v>Every stable task ID projects six P0-prefixed dossier artifacts into its existing issue and Roadmap item. Current control truth: 58 Incomplete; 45 Hold + 13 Historical non-authorizing; 0 Ready; 0 execution-allowed. Done on a planning item never implies implementation or deployment.</x:v>
      </x:c>
      <x:c r="X3" s="15" t="str">
        <x:v>Every stable task ID projects six P0-prefixed dossier artifacts into its existing issue and Roadmap item. Current control truth: 58 Incomplete; 45 Hold + 13 Historical non-authorizing; 0 Ready; 0 execution-allowed. Done on a planning item never implies implementation or deployment.</x:v>
      </x:c>
      <x:c r="Y3" s="15" t="str">
        <x:v>Every stable task ID projects six P0-prefixed dossier artifacts into its existing issue and Roadmap item. Current control truth: 58 Incomplete; 45 Hold + 13 Historical non-authorizing; 0 Ready; 0 execution-allowed. Done on a planning item never implies implementation or deployment.</x:v>
      </x:c>
      <x:c r="Z3" s="15" t="str">
        <x:v>Every stable task ID projects six P0-prefixed dossier artifacts into its existing issue and Roadmap item. Current control truth: 58 Incomplete; 45 Hold + 13 Historical non-authorizing; 0 Ready; 0 execution-allowed. Done on a planning item never implies implementation or deployment.</x:v>
      </x:c>
      <x:c r="AA3" s="15" t="str">
        <x:v>Every stable task ID projects six P0-prefixed dossier artifacts into its existing issue and Roadmap item. Current control truth: 58 Incomplete; 45 Hold + 13 Historical non-authorizing; 0 Ready; 0 execution-allowed. Done on a planning item never implies implementation or deployment.</x:v>
      </x:c>
      <x:c r="AB3" s="15" t="str">
        <x:v>Every stable task ID projects six P0-prefixed dossier artifacts into its existing issue and Roadmap item. Current control truth: 58 Incomplete; 45 Hold + 13 Historical non-authorizing; 0 Ready; 0 execution-allowed. Done on a planning item never implies implementation or deployment.</x:v>
      </x:c>
      <x:c r="AC3" s="16" t="str">
        <x:v>Every stable task ID projects six P0-prefixed dossier artifacts into its existing issue and Roadmap item. Current control truth: 58 Incomplete; 45 Hold + 13 Historical non-authorizing; 0 Ready; 0 execution-allowed. Done on a planning item never implies implementation or deployment.</x:v>
      </x:c>
    </x:row>
    <x:row r="5" ht="30" customHeight="1">
      <x:c r="A5" s="22" t="str">
        <x:v>ID</x:v>
      </x:c>
      <x:c r="B5" s="22" t="str">
        <x:v>Title</x:v>
      </x:c>
      <x:c r="C5" s="22" t="str">
        <x:v>Status</x:v>
      </x:c>
      <x:c r="D5" s="22" t="str">
        <x:v>Artifact readiness</x:v>
      </x:c>
      <x:c r="E5" s="22" t="str">
        <x:v>Execution allowed</x:v>
      </x:c>
      <x:c r="F5" s="22" t="str">
        <x:v>Execution scope</x:v>
      </x:c>
      <x:c r="G5" s="22" t="str">
        <x:v>Milestone</x:v>
      </x:c>
      <x:c r="H5" s="22" t="str">
        <x:v>Type</x:v>
      </x:c>
      <x:c r="I5" s="22" t="str">
        <x:v>Owner role</x:v>
      </x:c>
      <x:c r="J5" s="22" t="str">
        <x:v>Priority</x:v>
      </x:c>
      <x:c r="K5" s="22" t="str">
        <x:v>Start</x:v>
      </x:c>
      <x:c r="L5" s="22" t="str">
        <x:v>Target</x:v>
      </x:c>
      <x:c r="M5" s="22" t="str">
        <x:v>Days</x:v>
      </x:c>
      <x:c r="N5" s="22" t="str">
        <x:v>Requirement IDs</x:v>
      </x:c>
      <x:c r="O5" s="22" t="str">
        <x:v>Dependencies</x:v>
      </x:c>
      <x:c r="P5" s="22" t="str">
        <x:v>Parent PRD / PID</x:v>
      </x:c>
      <x:c r="Q5" s="22" t="str">
        <x:v>Task PRD</x:v>
      </x:c>
      <x:c r="R5" s="22" t="str">
        <x:v>Task technical plan</x:v>
      </x:c>
      <x:c r="S5" s="22" t="str">
        <x:v>Task design spec</x:v>
      </x:c>
      <x:c r="T5" s="22" t="str">
        <x:v>Task QA plan</x:v>
      </x:c>
      <x:c r="U5" s="22" t="str">
        <x:v>Task delivery checklist</x:v>
      </x:c>
      <x:c r="V5" s="22" t="str">
        <x:v>Task council readiness</x:v>
      </x:c>
      <x:c r="W5" s="22" t="str">
        <x:v>Shared design input</x:v>
      </x:c>
      <x:c r="X5" s="22" t="str">
        <x:v>Shared architecture input</x:v>
      </x:c>
      <x:c r="Y5" s="22" t="str">
        <x:v>Description</x:v>
      </x:c>
      <x:c r="Z5" s="22" t="str">
        <x:v>Acceptance evidence</x:v>
      </x:c>
      <x:c r="AA5" s="22" t="str">
        <x:v>Rollback / restore impact</x:v>
      </x:c>
      <x:c r="AB5" s="22" t="str">
        <x:v>Done meaning</x:v>
      </x:c>
      <x:c r="AC5" s="22" t="str">
        <x:v>GitHub issue</x:v>
      </x:c>
    </x:row>
    <x:row r="6" ht="90" customHeight="1">
      <x:c r="A6" s="26" t="str">
        <x:v>AUD-001</x:v>
      </x:c>
      <x:c r="B6" s="26" t="str">
        <x:v>v5 Feature Audit</x:v>
      </x:c>
      <x:c r="C6" s="26" t="str">
        <x:v>Done</x:v>
      </x:c>
      <x:c r="D6" s="26" t="str">
        <x:v>Incomplete</x:v>
      </x:c>
      <x:c r="E6" s="26" t="str">
        <x:v>No</x:v>
      </x:c>
      <x:c r="F6" s="26" t="str">
        <x:v>planning-only-historical</x:v>
      </x:c>
      <x:c r="G6" s="26" t="str">
        <x:v>P0</x:v>
      </x:c>
      <x:c r="H6" s="26" t="str">
        <x:v>Audit</x:v>
      </x:c>
      <x:c r="I6" s="26" t="str">
        <x:v>Product Manager + UI/UX Designer</x:v>
      </x:c>
      <x:c r="J6" s="26" t="str">
        <x:v>High</x:v>
      </x:c>
      <x:c r="K6" s="35" t="n">
        <x:v>46248</x:v>
      </x:c>
      <x:c r="L6" s="35" t="n">
        <x:v>46248</x:v>
      </x:c>
      <x:c r="M6" s="26" t="n">
        <x:f>IF(OR(K6="",L6=""),"",L6-K6+1)</x:f>
        <x:v>1</x:v>
      </x:c>
      <x:c r="N6" s="26" t="str"/>
      <x:c r="O6" s="26" t="str"/>
      <x:c r="P6" s="26" t="str">
        <x:v>https://github.com/arunpr614/Life-Reflection/blob/main/docs/product/PRODUCT-REQUIREMENTS.md</x:v>
      </x:c>
      <x:c r="Q6" s="26" t="str">
        <x:v>https://github.com/arunpr614/Life-Reflection/blob/main/docs/work-items/AUD-001/P0-AUD-001-PRD.md</x:v>
      </x:c>
      <x:c r="R6" s="26" t="str">
        <x:v>https://github.com/arunpr614/Life-Reflection/blob/main/docs/work-items/AUD-001/P0-AUD-001-TECHNICAL-PLAN.md</x:v>
      </x:c>
      <x:c r="S6" s="26" t="str">
        <x:v>https://github.com/arunpr614/Life-Reflection/blob/main/docs/work-items/AUD-001/P0-AUD-001-DESIGN-SPEC.md</x:v>
      </x:c>
      <x:c r="T6" s="26" t="str">
        <x:v>https://github.com/arunpr614/Life-Reflection/blob/main/docs/work-items/AUD-001/P0-AUD-001-QA-PLAN.md</x:v>
      </x:c>
      <x:c r="U6" s="26" t="str">
        <x:v>https://github.com/arunpr614/Life-Reflection/blob/main/docs/work-items/AUD-001/P0-AUD-001-DELIVERY-CHECKLIST.md</x:v>
      </x:c>
      <x:c r="V6" s="26" t="str">
        <x:v>https://github.com/arunpr614/Life-Reflection/blob/main/docs/work-items/AUD-001/P0-AUD-001-COUNCIL-READINESS.md</x:v>
      </x:c>
      <x:c r="W6" s="26" t="str">
        <x:v>https://github.com/arunpr614/Life-Reflection/blob/main/docs/council/UX-DESIGN-REVIEW.md</x:v>
      </x:c>
      <x:c r="X6" s="26" t="str">
        <x:v>https://github.com/arunpr614/Life-Reflection/blob/main/docs/architecture/PHASE1-IMPLEMENTATION-PLAN.md</x:v>
      </x:c>
      <x:c r="Y6" s="26" t="str">
        <x:v>Classify every v5 interaction as strong, partial, missing, or outside implementation evidence.</x:v>
      </x:c>
      <x:c r="Z6" s="26" t="str">
        <x:v>Published v5 feature audit with a source hash and requirement-by-requirement evidence classification.</x:v>
      </x:c>
      <x:c r="AA6" s="26" t="str">
        <x:v>Planning evidence only; no production data mutation. Any later implementation still needs its own migration, restore, and rollback proof.</x:v>
      </x:c>
      <x:c r="AB6" s="26" t="str">
        <x:v>This planning artifact is complete; it does not claim feature implementation, deployment, production readiness, or release acceptance.</x:v>
      </x:c>
      <x:c r="AC6" s="26" t="str">
        <x:v>https://github.com/arunpr614/Life-Reflection/issues/2</x:v>
      </x:c>
    </x:row>
    <x:row r="7" ht="90" customHeight="1">
      <x:c r="A7" s="26" t="str">
        <x:v>PC-001</x:v>
      </x:c>
      <x:c r="B7" s="26" t="str">
        <x:v>Integrated Council Planning Package</x:v>
      </x:c>
      <x:c r="C7" s="26" t="str">
        <x:v>Done</x:v>
      </x:c>
      <x:c r="D7" s="26" t="str">
        <x:v>Incomplete</x:v>
      </x:c>
      <x:c r="E7" s="26" t="str">
        <x:v>No</x:v>
      </x:c>
      <x:c r="F7" s="26" t="str">
        <x:v>planning-only-historical</x:v>
      </x:c>
      <x:c r="G7" s="26" t="str">
        <x:v>P0</x:v>
      </x:c>
      <x:c r="H7" s="26" t="str">
        <x:v>Planning</x:v>
      </x:c>
      <x:c r="I7" s="26" t="str">
        <x:v>Project Manager</x:v>
      </x:c>
      <x:c r="J7" s="26" t="str">
        <x:v>High</x:v>
      </x:c>
      <x:c r="K7" s="35" t="n">
        <x:v>46248</x:v>
      </x:c>
      <x:c r="L7" s="35" t="n">
        <x:v>46250</x:v>
      </x:c>
      <x:c r="M7" s="26" t="n">
        <x:f>IF(OR(K7="",L7=""),"",L7-K7+1)</x:f>
        <x:v>3</x:v>
      </x:c>
      <x:c r="N7" s="26" t="str"/>
      <x:c r="O7" s="26" t="str">
        <x:v>AUD-001</x:v>
      </x:c>
      <x:c r="P7" s="26" t="str">
        <x:v>https://github.com/arunpr614/Life-Reflection/blob/main/docs/product/PRODUCT-REQUIREMENTS.md</x:v>
      </x:c>
      <x:c r="Q7" s="26" t="str">
        <x:v>https://github.com/arunpr614/Life-Reflection/blob/main/docs/work-items/PC-001/P0-PC-001-PRD.md</x:v>
      </x:c>
      <x:c r="R7" s="26" t="str">
        <x:v>https://github.com/arunpr614/Life-Reflection/blob/main/docs/work-items/PC-001/P0-PC-001-TECHNICAL-PLAN.md</x:v>
      </x:c>
      <x:c r="S7" s="26" t="str">
        <x:v>https://github.com/arunpr614/Life-Reflection/blob/main/docs/work-items/PC-001/P0-PC-001-DESIGN-SPEC.md</x:v>
      </x:c>
      <x:c r="T7" s="26" t="str">
        <x:v>https://github.com/arunpr614/Life-Reflection/blob/main/docs/work-items/PC-001/P0-PC-001-QA-PLAN.md</x:v>
      </x:c>
      <x:c r="U7" s="26" t="str">
        <x:v>https://github.com/arunpr614/Life-Reflection/blob/main/docs/work-items/PC-001/P0-PC-001-DELIVERY-CHECKLIST.md</x:v>
      </x:c>
      <x:c r="V7" s="26" t="str">
        <x:v>https://github.com/arunpr614/Life-Reflection/blob/main/docs/work-items/PC-001/P0-PC-001-COUNCIL-READINESS.md</x:v>
      </x:c>
      <x:c r="W7" s="26" t="str">
        <x:v>https://github.com/arunpr614/Life-Reflection/blob/main/docs/council/UX-DESIGN-REVIEW.md</x:v>
      </x:c>
      <x:c r="X7" s="26" t="str">
        <x:v>https://github.com/arunpr614/Life-Reflection/blob/main/docs/architecture/PHASE1-IMPLEMENTATION-PLAN.md</x:v>
      </x:c>
      <x:c r="Y7" s="26" t="str">
        <x:v>Reconcile Product, Design, Architecture, and Project Management decisions into one delivery baseline.</x:v>
      </x:c>
      <x:c r="Z7" s="26" t="str">
        <x:v>Historical four-seat planning evidence and the five-seat P0 execution-control review, decision record, 58-task manifest, validated workbook, and live roadmap reconcile without inflating planning Done.</x:v>
      </x:c>
      <x:c r="AA7" s="26" t="str">
        <x:v>Planning evidence only; no production data mutation. Any later implementation still needs its own migration, restore, and rollback proof.</x:v>
      </x:c>
      <x:c r="AB7" s="26" t="str">
        <x:v>This planning artifact is complete; it does not claim feature implementation, deployment, production readiness, or release acceptance.</x:v>
      </x:c>
      <x:c r="AC7" s="26" t="str">
        <x:v>https://github.com/arunpr614/Life-Reflection/issues/3</x:v>
      </x:c>
    </x:row>
    <x:row r="8" ht="90" customHeight="1">
      <x:c r="A8" s="26" t="str">
        <x:v>SPK-R0-001</x:v>
      </x:c>
      <x:c r="B8" s="26" t="str">
        <x:v>Shared-host Coexistence &amp; Rollback Spike</x:v>
      </x:c>
      <x:c r="C8" s="26" t="str">
        <x:v>In progress</x:v>
      </x:c>
      <x:c r="D8" s="26" t="str">
        <x:v>Incomplete</x:v>
      </x:c>
      <x:c r="E8" s="26" t="str">
        <x:v>No</x:v>
      </x:c>
      <x:c r="F8" s="26" t="str">
        <x:v>local-synthetic-artifact-authoring-only</x:v>
      </x:c>
      <x:c r="G8" s="26" t="str">
        <x:v>R0</x:v>
      </x:c>
      <x:c r="H8" s="26" t="str">
        <x:v>Spike</x:v>
      </x:c>
      <x:c r="I8" s="26" t="str">
        <x:v>Technical Architect</x:v>
      </x:c>
      <x:c r="J8" s="26" t="str">
        <x:v>High</x:v>
      </x:c>
      <x:c r="K8" s="35" t="n">
        <x:v>46251</x:v>
      </x:c>
      <x:c r="L8" s="35" t="n">
        <x:v>46253</x:v>
      </x:c>
      <x:c r="M8" s="26" t="n">
        <x:f>IF(OR(K8="",L8=""),"",L8-K8+1)</x:f>
        <x:v>3</x:v>
      </x:c>
      <x:c r="N8" s="26" t="str">
        <x:v>LID-SCP-001, LID-OPS-001, LID-OPS-002, LID-OPS-003, LID-OPS-004, LID-OPS-008, LID-OPS-011, LID-OPS-012, LID-OPS-014, LID-OPS-016, LID-OPS-018</x:v>
      </x:c>
      <x:c r="O8" s="26" t="str">
        <x:v>PC-001</x:v>
      </x:c>
      <x:c r="P8" s="26" t="str">
        <x:v>https://github.com/arunpr614/Life-Reflection/blob/main/docs/product/releases/PRD-R0-SHARED-HOST-PRIVATE-FOUNDATION.md</x:v>
      </x:c>
      <x:c r="Q8" s="26" t="str">
        <x:v>https://github.com/arunpr614/Life-Reflection/blob/main/docs/work-items/SPK-R0-001/P0-SPK-R0-001-PRD.md</x:v>
      </x:c>
      <x:c r="R8" s="26" t="str">
        <x:v>https://github.com/arunpr614/Life-Reflection/blob/main/docs/work-items/SPK-R0-001/P0-SPK-R0-001-TECHNICAL-PLAN.md</x:v>
      </x:c>
      <x:c r="S8" s="26" t="str">
        <x:v>https://github.com/arunpr614/Life-Reflection/blob/main/docs/work-items/SPK-R0-001/P0-SPK-R0-001-DESIGN-SPEC.md</x:v>
      </x:c>
      <x:c r="T8" s="26" t="str">
        <x:v>https://github.com/arunpr614/Life-Reflection/blob/main/docs/work-items/SPK-R0-001/P0-SPK-R0-001-QA-PLAN.md</x:v>
      </x:c>
      <x:c r="U8" s="26" t="str">
        <x:v>https://github.com/arunpr614/Life-Reflection/blob/main/docs/work-items/SPK-R0-001/P0-SPK-R0-001-DELIVERY-CHECKLIST.md</x:v>
      </x:c>
      <x:c r="V8" s="26" t="str">
        <x:v>https://github.com/arunpr614/Life-Reflection/blob/main/docs/work-items/SPK-R0-001/P0-SPK-R0-001-COUNCIL-READINESS.md</x:v>
      </x:c>
      <x:c r="W8" s="26" t="str">
        <x:v>https://github.com/arunpr614/Life-Reflection/blob/main/docs/council/UX-DESIGN-REVIEW.md</x:v>
      </x:c>
      <x:c r="X8" s="26" t="str">
        <x:v>https://github.com/arunpr614/Life-Reflection/blob/main/docs/architecture/PHASE1-IMPLEMENTATION-PLAN.md</x:v>
      </x:c>
      <x:c r="Y8" s="26" t="str">
        <x:v>Prove namespaced shared-host fit with synthetic data, explicit capacity assumptions, non-regression, restore, and rollback.</x:v>
      </x:c>
      <x:c r="Z8" s="26" t="str">
        <x:v>Research report plus sanitized live host capacity/topology, collision, restart, backup/restore, rollback, and co-resident non-regression evidence.</x:v>
      </x:c>
      <x:c r="AA8" s="26" t="str">
        <x:v>No personal-data mutation is authorized by this task; it must define or prove reversible deployment and recovery before dependent implementation.</x:v>
      </x:c>
      <x:c r="AB8" s="26" t="str">
        <x:v>Move to Done only when the named task evidence exists; prototype or document intent cannot prove implementation or release completion.</x:v>
      </x:c>
      <x:c r="AC8" s="26" t="str">
        <x:v>https://github.com/arunpr614/Life-Reflection/issues/4</x:v>
      </x:c>
    </x:row>
    <x:row r="9" ht="90" customHeight="1">
      <x:c r="A9" s="26" t="str">
        <x:v>PRD-R0-001</x:v>
      </x:c>
      <x:c r="B9" s="26" t="str">
        <x:v>Private Foundation PRD</x:v>
      </x:c>
      <x:c r="C9" s="26" t="str">
        <x:v>Done</x:v>
      </x:c>
      <x:c r="D9" s="26" t="str">
        <x:v>Incomplete</x:v>
      </x:c>
      <x:c r="E9" s="26" t="str">
        <x:v>No</x:v>
      </x:c>
      <x:c r="F9" s="26" t="str">
        <x:v>planning-only-historical</x:v>
      </x:c>
      <x:c r="G9" s="26" t="str">
        <x:v>R0</x:v>
      </x:c>
      <x:c r="H9" s="26" t="str">
        <x:v>Product definition</x:v>
      </x:c>
      <x:c r="I9" s="26" t="str">
        <x:v>Product Manager</x:v>
      </x:c>
      <x:c r="J9" s="26" t="str">
        <x:v>High</x:v>
      </x:c>
      <x:c r="K9" s="35" t="n">
        <x:v>46251</x:v>
      </x:c>
      <x:c r="L9" s="35" t="n">
        <x:v>46254</x:v>
      </x:c>
      <x:c r="M9" s="26" t="n">
        <x:f>IF(OR(K9="",L9=""),"",L9-K9+1)</x:f>
        <x:v>4</x:v>
      </x:c>
      <x:c r="N9" s="26" t="str">
        <x:v>LID-SCP-001, LID-OPS-001, LID-OPS-002, LID-OPS-003, LID-OPS-004, LID-OPS-008, LID-OPS-011, LID-OPS-012, LID-OPS-014, LID-OPS-016, LID-OPS-018</x:v>
      </x:c>
      <x:c r="O9" s="26" t="str">
        <x:v>PC-001</x:v>
      </x:c>
      <x:c r="P9" s="26" t="str">
        <x:v>https://github.com/arunpr614/Life-Reflection/blob/main/docs/product/releases/PRD-R0-SHARED-HOST-PRIVATE-FOUNDATION.md</x:v>
      </x:c>
      <x:c r="Q9" s="26" t="str">
        <x:v>https://github.com/arunpr614/Life-Reflection/blob/main/docs/work-items/PRD-R0-001/P0-PRD-R0-001-PRD.md</x:v>
      </x:c>
      <x:c r="R9" s="26" t="str">
        <x:v>https://github.com/arunpr614/Life-Reflection/blob/main/docs/work-items/PRD-R0-001/P0-PRD-R0-001-TECHNICAL-PLAN.md</x:v>
      </x:c>
      <x:c r="S9" s="26" t="str">
        <x:v>https://github.com/arunpr614/Life-Reflection/blob/main/docs/work-items/PRD-R0-001/P0-PRD-R0-001-DESIGN-SPEC.md</x:v>
      </x:c>
      <x:c r="T9" s="26" t="str">
        <x:v>https://github.com/arunpr614/Life-Reflection/blob/main/docs/work-items/PRD-R0-001/P0-PRD-R0-001-QA-PLAN.md</x:v>
      </x:c>
      <x:c r="U9" s="26" t="str">
        <x:v>https://github.com/arunpr614/Life-Reflection/blob/main/docs/work-items/PRD-R0-001/P0-PRD-R0-001-DELIVERY-CHECKLIST.md</x:v>
      </x:c>
      <x:c r="V9" s="26" t="str">
        <x:v>https://github.com/arunpr614/Life-Reflection/blob/main/docs/work-items/PRD-R0-001/P0-PRD-R0-001-COUNCIL-READINESS.md</x:v>
      </x:c>
      <x:c r="W9" s="26" t="str">
        <x:v>https://github.com/arunpr614/Life-Reflection/blob/main/docs/council/UX-DESIGN-REVIEW.md</x:v>
      </x:c>
      <x:c r="X9" s="26" t="str">
        <x:v>https://github.com/arunpr614/Life-Reflection/blob/main/docs/architecture/PHASE1-IMPLEMENTATION-PLAN.md</x:v>
      </x:c>
      <x:c r="Y9" s="26" t="str">
        <x:v>Define the synthetic-only private foundation outcome and prohibit authentic memory ingestion before R0 acceptance.</x:v>
      </x:c>
      <x:c r="Z9" s="26" t="str">
        <x:v>Release document docs/product/releases/PRD-R0-SHARED-HOST-PRIVATE-FOUNDATION.md exists, passes link/requirement validation, and separates council-delegated evidence gates from specifically named non-delegable human acts.</x:v>
      </x:c>
      <x:c r="AA9" s="26" t="str">
        <x:v>Planning evidence only; no production data mutation. Any later implementation still needs its own migration, restore, and rollback proof.</x:v>
      </x:c>
      <x:c r="AB9" s="26" t="str">
        <x:v>This planning artifact is complete; it does not claim feature implementation, deployment, production readiness, or release acceptance.</x:v>
      </x:c>
      <x:c r="AC9" s="26" t="str">
        <x:v>https://github.com/arunpr614/Life-Reflection/issues/5</x:v>
      </x:c>
    </x:row>
    <x:row r="10" ht="90" customHeight="1">
      <x:c r="A10" s="26" t="str">
        <x:v>UX-R0-001</x:v>
      </x:c>
      <x:c r="B10" s="26" t="str">
        <x:v>First-use/Access/Health States</x:v>
      </x:c>
      <x:c r="C10" s="26" t="str">
        <x:v>Next</x:v>
      </x:c>
      <x:c r="D10" s="26" t="str">
        <x:v>Incomplete</x:v>
      </x:c>
      <x:c r="E10" s="26" t="str">
        <x:v>No</x:v>
      </x:c>
      <x:c r="F10" s="26" t="str">
        <x:v>local-synthetic-artifact-authoring-only</x:v>
      </x:c>
      <x:c r="G10" s="26" t="str">
        <x:v>R0</x:v>
      </x:c>
      <x:c r="H10" s="26" t="str">
        <x:v>Design</x:v>
      </x:c>
      <x:c r="I10" s="26" t="str">
        <x:v>UI/UX Designer</x:v>
      </x:c>
      <x:c r="J10" s="26" t="str">
        <x:v>High</x:v>
      </x:c>
      <x:c r="K10" s="35" t="n">
        <x:v>46252</x:v>
      </x:c>
      <x:c r="L10" s="35" t="n">
        <x:v>46255</x:v>
      </x:c>
      <x:c r="M10" s="26" t="n">
        <x:f>IF(OR(K10="",L10=""),"",L10-K10+1)</x:f>
        <x:v>4</x:v>
      </x:c>
      <x:c r="N10" s="26" t="str">
        <x:v>LID-SCP-001, LID-OPS-001, LID-OPS-012, LID-OPS-014, LID-OPS-018</x:v>
      </x:c>
      <x:c r="O10" s="26" t="str">
        <x:v>PRD-R0-001, SPK-R0-001</x:v>
      </x:c>
      <x:c r="P10" s="26" t="str">
        <x:v>https://github.com/arunpr614/Life-Reflection/blob/main/docs/product/releases/PRD-R0-SHARED-HOST-PRIVATE-FOUNDATION.md</x:v>
      </x:c>
      <x:c r="Q10" s="26" t="str">
        <x:v>https://github.com/arunpr614/Life-Reflection/blob/main/docs/work-items/UX-R0-001/P0-UX-R0-001-PRD.md</x:v>
      </x:c>
      <x:c r="R10" s="26" t="str">
        <x:v>https://github.com/arunpr614/Life-Reflection/blob/main/docs/work-items/UX-R0-001/P0-UX-R0-001-TECHNICAL-PLAN.md</x:v>
      </x:c>
      <x:c r="S10" s="26" t="str">
        <x:v>https://github.com/arunpr614/Life-Reflection/blob/main/docs/work-items/UX-R0-001/P0-UX-R0-001-DESIGN-SPEC.md</x:v>
      </x:c>
      <x:c r="T10" s="26" t="str">
        <x:v>https://github.com/arunpr614/Life-Reflection/blob/main/docs/work-items/UX-R0-001/P0-UX-R0-001-QA-PLAN.md</x:v>
      </x:c>
      <x:c r="U10" s="26" t="str">
        <x:v>https://github.com/arunpr614/Life-Reflection/blob/main/docs/work-items/UX-R0-001/P0-UX-R0-001-DELIVERY-CHECKLIST.md</x:v>
      </x:c>
      <x:c r="V10" s="26" t="str">
        <x:v>https://github.com/arunpr614/Life-Reflection/blob/main/docs/work-items/UX-R0-001/P0-UX-R0-001-COUNCIL-READINESS.md</x:v>
      </x:c>
      <x:c r="W10" s="26" t="str">
        <x:v>https://github.com/arunpr614/Life-Reflection/blob/main/docs/council/UX-DESIGN-REVIEW.md</x:v>
      </x:c>
      <x:c r="X10" s="26" t="str">
        <x:v>https://github.com/arunpr614/Life-Reflection/blob/main/docs/architecture/PHASE1-IMPLEMENTATION-PLAN.md</x:v>
      </x:c>
      <x:c r="Y10" s="26" t="str">
        <x:v>Design first use, access denial/expiry, System Health, synthetic recovery, failure, and rollback states.</x:v>
      </x:c>
      <x:c r="Z10" s="26" t="str">
        <x:v>Approved task-specific design for UX-R0-001 — First-use/Access/Health States links complete normal/empty/loading/error/interruption/destructive states, responsive behavior, accessibility annotations, prototype dispositions, and Designer sign-off.</x:v>
      </x:c>
      <x:c r="AA10" s="26" t="str">
        <x:v>Planning evidence only; no production data mutation. Any later implementation still needs its own migration, restore, and rollback proof.</x:v>
      </x:c>
      <x:c r="AB10" s="26" t="str">
        <x:v>Move to Done only when the named task evidence exists; prototype or document intent cannot prove implementation or release completion.</x:v>
      </x:c>
      <x:c r="AC10" s="26" t="str">
        <x:v>https://github.com/arunpr614/Life-Reflection/issues/6</x:v>
      </x:c>
    </x:row>
    <x:row r="11" ht="90" customHeight="1">
      <x:c r="A11" s="26" t="str">
        <x:v>ARCH-R0-001</x:v>
      </x:c>
      <x:c r="B11" s="26" t="str">
        <x:v>Private Shell Architecture &amp; Threat Baseline</x:v>
      </x:c>
      <x:c r="C11" s="26" t="str">
        <x:v>Next</x:v>
      </x:c>
      <x:c r="D11" s="26" t="str">
        <x:v>Incomplete</x:v>
      </x:c>
      <x:c r="E11" s="26" t="str">
        <x:v>No</x:v>
      </x:c>
      <x:c r="F11" s="26" t="str">
        <x:v>local-synthetic-artifact-authoring-only</x:v>
      </x:c>
      <x:c r="G11" s="26" t="str">
        <x:v>R0</x:v>
      </x:c>
      <x:c r="H11" s="26" t="str">
        <x:v>Architecture</x:v>
      </x:c>
      <x:c r="I11" s="26" t="str">
        <x:v>Technical Architect</x:v>
      </x:c>
      <x:c r="J11" s="26" t="str">
        <x:v>High</x:v>
      </x:c>
      <x:c r="K11" s="35" t="n">
        <x:v>46251</x:v>
      </x:c>
      <x:c r="L11" s="35" t="n">
        <x:v>46255</x:v>
      </x:c>
      <x:c r="M11" s="26" t="n">
        <x:f>IF(OR(K11="",L11=""),"",L11-K11+1)</x:f>
        <x:v>5</x:v>
      </x:c>
      <x:c r="N11" s="26" t="str">
        <x:v>LID-SCP-001, LID-OPS-001, LID-OPS-002, LID-OPS-003, LID-OPS-004, LID-OPS-008, LID-OPS-011, LID-OPS-012, LID-OPS-014, LID-OPS-016, LID-OPS-018</x:v>
      </x:c>
      <x:c r="O11" s="26" t="str">
        <x:v>PRD-R0-001, SPK-R0-001</x:v>
      </x:c>
      <x:c r="P11" s="26" t="str">
        <x:v>https://github.com/arunpr614/Life-Reflection/blob/main/docs/product/releases/PRD-R0-SHARED-HOST-PRIVATE-FOUNDATION.md</x:v>
      </x:c>
      <x:c r="Q11" s="26" t="str">
        <x:v>https://github.com/arunpr614/Life-Reflection/blob/main/docs/work-items/ARCH-R0-001/P0-ARCH-R0-001-PRD.md</x:v>
      </x:c>
      <x:c r="R11" s="26" t="str">
        <x:v>https://github.com/arunpr614/Life-Reflection/blob/main/docs/work-items/ARCH-R0-001/P0-ARCH-R0-001-TECHNICAL-PLAN.md</x:v>
      </x:c>
      <x:c r="S11" s="26" t="str">
        <x:v>https://github.com/arunpr614/Life-Reflection/blob/main/docs/work-items/ARCH-R0-001/P0-ARCH-R0-001-DESIGN-SPEC.md</x:v>
      </x:c>
      <x:c r="T11" s="26" t="str">
        <x:v>https://github.com/arunpr614/Life-Reflection/blob/main/docs/work-items/ARCH-R0-001/P0-ARCH-R0-001-QA-PLAN.md</x:v>
      </x:c>
      <x:c r="U11" s="26" t="str">
        <x:v>https://github.com/arunpr614/Life-Reflection/blob/main/docs/work-items/ARCH-R0-001/P0-ARCH-R0-001-DELIVERY-CHECKLIST.md</x:v>
      </x:c>
      <x:c r="V11" s="26" t="str">
        <x:v>https://github.com/arunpr614/Life-Reflection/blob/main/docs/work-items/ARCH-R0-001/P0-ARCH-R0-001-COUNCIL-READINESS.md</x:v>
      </x:c>
      <x:c r="W11" s="26" t="str">
        <x:v>https://github.com/arunpr614/Life-Reflection/blob/main/docs/council/UX-DESIGN-REVIEW.md</x:v>
      </x:c>
      <x:c r="X11" s="26" t="str">
        <x:v>https://github.com/arunpr614/Life-Reflection/blob/main/docs/architecture/PHASE1-IMPLEMENTATION-PLAN.md</x:v>
      </x:c>
      <x:c r="Y11" s="26" t="str">
        <x:v>Freeze namespaced processes, loopback ingress, callback isolation, encryption, secrets, logging, backup, and recovery architecture.</x:v>
      </x:c>
      <x:c r="Z11" s="26" t="str">
        <x:v>Approved task-specific technical plan for ARCH-R0-001 — Private Shell Architecture &amp; Threat Baseline links owned modules, ADRs, threats/data flows, interfaces/data shapes, capacity, migration, restore, rollback, and Architect sign-off.</x:v>
      </x:c>
      <x:c r="AA11" s="26" t="str">
        <x:v>No personal-data mutation is authorized by this task; it must define or prove reversible deployment and recovery before dependent implementation.</x:v>
      </x:c>
      <x:c r="AB11" s="26" t="str">
        <x:v>Move to Done only when the named task evidence exists; prototype or document intent cannot prove implementation or release completion.</x:v>
      </x:c>
      <x:c r="AC11" s="26" t="str">
        <x:v>https://github.com/arunpr614/Life-Reflection/issues/7</x:v>
      </x:c>
    </x:row>
    <x:row r="12" ht="90" customHeight="1">
      <x:c r="A12" s="26" t="str">
        <x:v>ENG-R0-001</x:v>
      </x:c>
      <x:c r="B12" s="26" t="str">
        <x:v>Deploy Synthetic Private Shell</x:v>
      </x:c>
      <x:c r="C12" s="26" t="str">
        <x:v>Next</x:v>
      </x:c>
      <x:c r="D12" s="26" t="str">
        <x:v>Incomplete</x:v>
      </x:c>
      <x:c r="E12" s="26" t="str">
        <x:v>No</x:v>
      </x:c>
      <x:c r="F12" s="26" t="str">
        <x:v>local-synthetic-artifact-authoring-only</x:v>
      </x:c>
      <x:c r="G12" s="26" t="str">
        <x:v>R0</x:v>
      </x:c>
      <x:c r="H12" s="26" t="str">
        <x:v>Implementation</x:v>
      </x:c>
      <x:c r="I12" s="26" t="str">
        <x:v>Engineering</x:v>
      </x:c>
      <x:c r="J12" s="26" t="str">
        <x:v>High</x:v>
      </x:c>
      <x:c r="K12" s="35" t="n">
        <x:v>46255</x:v>
      </x:c>
      <x:c r="L12" s="35" t="n">
        <x:v>46260</x:v>
      </x:c>
      <x:c r="M12" s="26" t="n">
        <x:f>IF(OR(K12="",L12=""),"",L12-K12+1)</x:f>
        <x:v>6</x:v>
      </x:c>
      <x:c r="N12" s="26" t="str">
        <x:v>LID-SCP-001, LID-OPS-001, LID-OPS-002, LID-OPS-003, LID-OPS-004, LID-OPS-008, LID-OPS-011, LID-OPS-012, LID-OPS-014, LID-OPS-016, LID-OPS-018</x:v>
      </x:c>
      <x:c r="O12" s="26" t="str">
        <x:v>UX-R0-001, ARCH-R0-001</x:v>
      </x:c>
      <x:c r="P12" s="26" t="str">
        <x:v>https://github.com/arunpr614/Life-Reflection/blob/main/docs/product/releases/PRD-R0-SHARED-HOST-PRIVATE-FOUNDATION.md</x:v>
      </x:c>
      <x:c r="Q12" s="26" t="str">
        <x:v>https://github.com/arunpr614/Life-Reflection/blob/main/docs/work-items/ENG-R0-001/P0-ENG-R0-001-PRD.md</x:v>
      </x:c>
      <x:c r="R12" s="26" t="str">
        <x:v>https://github.com/arunpr614/Life-Reflection/blob/main/docs/work-items/ENG-R0-001/P0-ENG-R0-001-TECHNICAL-PLAN.md</x:v>
      </x:c>
      <x:c r="S12" s="26" t="str">
        <x:v>https://github.com/arunpr614/Life-Reflection/blob/main/docs/work-items/ENG-R0-001/P0-ENG-R0-001-DESIGN-SPEC.md</x:v>
      </x:c>
      <x:c r="T12" s="26" t="str">
        <x:v>https://github.com/arunpr614/Life-Reflection/blob/main/docs/work-items/ENG-R0-001/P0-ENG-R0-001-QA-PLAN.md</x:v>
      </x:c>
      <x:c r="U12" s="26" t="str">
        <x:v>https://github.com/arunpr614/Life-Reflection/blob/main/docs/work-items/ENG-R0-001/P0-ENG-R0-001-DELIVERY-CHECKLIST.md</x:v>
      </x:c>
      <x:c r="V12" s="26" t="str">
        <x:v>https://github.com/arunpr614/Life-Reflection/blob/main/docs/work-items/ENG-R0-001/P0-ENG-R0-001-COUNCIL-READINESS.md</x:v>
      </x:c>
      <x:c r="W12" s="26" t="str">
        <x:v>https://github.com/arunpr614/Life-Reflection/blob/main/docs/council/UX-DESIGN-REVIEW.md</x:v>
      </x:c>
      <x:c r="X12" s="26" t="str">
        <x:v>https://github.com/arunpr614/Life-Reflection/blob/main/docs/architecture/PHASE1-IMPLEMENTATION-PLAN.md</x:v>
      </x:c>
      <x:c r="Y12" s="26" t="str">
        <x:v>Build and deploy an authenticated synthetic shell with health evidence and no route or data path for real memories.</x:v>
      </x:c>
      <x:c r="Z12" s="26" t="str">
        <x:v>Merged implementation for ENG-R0-001 — Deploy Synthetic Private Shell proves “Build and deploy an authenticated synthetic shell with health evidence and no route or data path for real memories.” with task-specific tests, immutable build/SBOM, migrations, sanitized deployment evidence when authorized, separate-path restore, rollback, and no-regression results.</x:v>
      </x:c>
      <x:c r="AA12" s="26" t="str">
        <x:v>Adds synthetic encrypted database/configuration and job state only; migration must be reversible and backup/restore coverage must pass before release acceptance.</x:v>
      </x:c>
      <x:c r="AB12" s="26" t="str">
        <x:v>Move to Done only when the named task evidence exists; prototype or document intent cannot prove implementation or release completion.</x:v>
      </x:c>
      <x:c r="AC12" s="26" t="str">
        <x:v>https://github.com/arunpr614/Life-Reflection/issues/8</x:v>
      </x:c>
    </x:row>
    <x:row r="13" ht="90" customHeight="1">
      <x:c r="A13" s="26" t="str">
        <x:v>REL-R0-001</x:v>
      </x:c>
      <x:c r="B13" s="26" t="str">
        <x:v>Restore/Rollback/Non-regression Acceptance</x:v>
      </x:c>
      <x:c r="C13" s="26" t="str">
        <x:v>Next</x:v>
      </x:c>
      <x:c r="D13" s="26" t="str">
        <x:v>Incomplete</x:v>
      </x:c>
      <x:c r="E13" s="26" t="str">
        <x:v>No</x:v>
      </x:c>
      <x:c r="F13" s="26" t="str">
        <x:v>future-release-gated</x:v>
      </x:c>
      <x:c r="G13" s="26" t="str">
        <x:v>R0</x:v>
      </x:c>
      <x:c r="H13" s="26" t="str">
        <x:v>Release acceptance</x:v>
      </x:c>
      <x:c r="I13" s="26" t="str">
        <x:v>Project Manager + Independent QA</x:v>
      </x:c>
      <x:c r="J13" s="26" t="str">
        <x:v>High</x:v>
      </x:c>
      <x:c r="K13" s="35" t="n">
        <x:v>46261</x:v>
      </x:c>
      <x:c r="L13" s="35" t="n">
        <x:v>46262</x:v>
      </x:c>
      <x:c r="M13" s="26" t="n">
        <x:f>IF(OR(K13="",L13=""),"",L13-K13+1)</x:f>
        <x:v>2</x:v>
      </x:c>
      <x:c r="N13" s="26" t="str">
        <x:v>LID-SCP-001, LID-OPS-001, LID-OPS-002, LID-OPS-003, LID-OPS-004, LID-OPS-008, LID-OPS-011, LID-OPS-012, LID-OPS-014, LID-OPS-016, LID-OPS-018</x:v>
      </x:c>
      <x:c r="O13" s="26" t="str">
        <x:v>ENG-R0-001</x:v>
      </x:c>
      <x:c r="P13" s="26" t="str">
        <x:v>https://github.com/arunpr614/Life-Reflection/blob/main/docs/product/releases/PRD-R0-SHARED-HOST-PRIVATE-FOUNDATION.md</x:v>
      </x:c>
      <x:c r="Q13" s="26" t="str">
        <x:v>https://github.com/arunpr614/Life-Reflection/blob/main/docs/work-items/REL-R0-001/P0-REL-R0-001-PRD.md</x:v>
      </x:c>
      <x:c r="R13" s="26" t="str">
        <x:v>https://github.com/arunpr614/Life-Reflection/blob/main/docs/work-items/REL-R0-001/P0-REL-R0-001-TECHNICAL-PLAN.md</x:v>
      </x:c>
      <x:c r="S13" s="26" t="str">
        <x:v>https://github.com/arunpr614/Life-Reflection/blob/main/docs/work-items/REL-R0-001/P0-REL-R0-001-DESIGN-SPEC.md</x:v>
      </x:c>
      <x:c r="T13" s="26" t="str">
        <x:v>https://github.com/arunpr614/Life-Reflection/blob/main/docs/work-items/REL-R0-001/P0-REL-R0-001-QA-PLAN.md</x:v>
      </x:c>
      <x:c r="U13" s="26" t="str">
        <x:v>https://github.com/arunpr614/Life-Reflection/blob/main/docs/work-items/REL-R0-001/P0-REL-R0-001-DELIVERY-CHECKLIST.md</x:v>
      </x:c>
      <x:c r="V13" s="26" t="str">
        <x:v>https://github.com/arunpr614/Life-Reflection/blob/main/docs/work-items/REL-R0-001/P0-REL-R0-001-COUNCIL-READINESS.md</x:v>
      </x:c>
      <x:c r="W13" s="26" t="str">
        <x:v>https://github.com/arunpr614/Life-Reflection/blob/main/docs/council/UX-DESIGN-REVIEW.md</x:v>
      </x:c>
      <x:c r="X13" s="26" t="str">
        <x:v>https://github.com/arunpr614/Life-Reflection/blob/main/docs/architecture/PHASE1-IMPLEMENTATION-PLAN.md</x:v>
      </x:c>
      <x:c r="Y13" s="26" t="str">
        <x:v>Execute access, coexistence, encrypted synthetic restore, restart, rollback, and co-resident non-regression gates.</x:v>
      </x:c>
      <x:c r="Z13" s="26" t="str">
        <x:v>Release acceptance for REL-R0-001 — Restore/Rollback/Non-regression Acceptance links independent QA, five-seat review, every task-specific dossier, backup/separate-path restore for each new shape, rollback, defect gate, and proceed/hold/rollback record; a human attestation is included only for a named non-delegable act.</x:v>
      </x:c>
      <x:c r="AA13" s="26" t="str">
        <x:v>Validates rollback and restore for every persistent shape introduced by the milestone; acceptance never substitutes a successful backup upload for restore evidence.</x:v>
      </x:c>
      <x:c r="AB13" s="26" t="str">
        <x:v>Move to Done only when the named task evidence exists; prototype or document intent cannot prove implementation or release completion.</x:v>
      </x:c>
      <x:c r="AC13" s="26" t="str">
        <x:v>https://github.com/arunpr614/Life-Reflection/issues/9</x:v>
      </x:c>
    </x:row>
    <x:row r="14" ht="90" customHeight="1">
      <x:c r="A14" s="26" t="str">
        <x:v>PRD-R1-001</x:v>
      </x:c>
      <x:c r="B14" s="26" t="str">
        <x:v>Manual Archive PRD</x:v>
      </x:c>
      <x:c r="C14" s="26" t="str">
        <x:v>Done</x:v>
      </x:c>
      <x:c r="D14" s="26" t="str">
        <x:v>Incomplete</x:v>
      </x:c>
      <x:c r="E14" s="26" t="str">
        <x:v>No</x:v>
      </x:c>
      <x:c r="F14" s="26" t="str">
        <x:v>planning-only-historical</x:v>
      </x:c>
      <x:c r="G14" s="26" t="str">
        <x:v>R1</x:v>
      </x:c>
      <x:c r="H14" s="26" t="str">
        <x:v>Product definition</x:v>
      </x:c>
      <x:c r="I14" s="26" t="str">
        <x:v>Product Manager</x:v>
      </x:c>
      <x:c r="J14" s="26" t="str">
        <x:v>High</x:v>
      </x:c>
      <x:c r="K14" s="35" t="n">
        <x:v>46265</x:v>
      </x:c>
      <x:c r="L14" s="35" t="n">
        <x:v>46267</x:v>
      </x:c>
      <x:c r="M14" s="26" t="n">
        <x:f>IF(OR(K14="",L14=""),"",L14-K14+1)</x:f>
        <x:v>3</x:v>
      </x:c>
      <x:c r="N14" s="26" t="str">
        <x:v>LID-SCP-002, LID-SCP-003, LID-UP-001, LID-UP-002, LID-UP-003, LID-REF-001, LID-REF-004, LID-REF-005, LID-REF-006, LID-OPS-011, LID-OPS-018</x:v>
      </x:c>
      <x:c r="O14" s="26" t="str">
        <x:v>PC-001</x:v>
      </x:c>
      <x:c r="P14" s="26" t="str">
        <x:v>https://github.com/arunpr614/Life-Reflection/blob/main/docs/product/releases/PRD-R1-MANUAL-JOURNAL-ARCHIVE.md</x:v>
      </x:c>
      <x:c r="Q14" s="26" t="str">
        <x:v>https://github.com/arunpr614/Life-Reflection/blob/main/docs/work-items/PRD-R1-001/P0-PRD-R1-001-PRD.md</x:v>
      </x:c>
      <x:c r="R14" s="26" t="str">
        <x:v>https://github.com/arunpr614/Life-Reflection/blob/main/docs/work-items/PRD-R1-001/P0-PRD-R1-001-TECHNICAL-PLAN.md</x:v>
      </x:c>
      <x:c r="S14" s="26" t="str">
        <x:v>https://github.com/arunpr614/Life-Reflection/blob/main/docs/work-items/PRD-R1-001/P0-PRD-R1-001-DESIGN-SPEC.md</x:v>
      </x:c>
      <x:c r="T14" s="26" t="str">
        <x:v>https://github.com/arunpr614/Life-Reflection/blob/main/docs/work-items/PRD-R1-001/P0-PRD-R1-001-QA-PLAN.md</x:v>
      </x:c>
      <x:c r="U14" s="26" t="str">
        <x:v>https://github.com/arunpr614/Life-Reflection/blob/main/docs/work-items/PRD-R1-001/P0-PRD-R1-001-DELIVERY-CHECKLIST.md</x:v>
      </x:c>
      <x:c r="V14" s="26" t="str">
        <x:v>https://github.com/arunpr614/Life-Reflection/blob/main/docs/work-items/PRD-R1-001/P0-PRD-R1-001-COUNCIL-READINESS.md</x:v>
      </x:c>
      <x:c r="W14" s="26" t="str">
        <x:v>https://github.com/arunpr614/Life-Reflection/blob/main/docs/council/UX-DESIGN-REVIEW.md</x:v>
      </x:c>
      <x:c r="X14" s="26" t="str">
        <x:v>https://github.com/arunpr614/Life-Reflection/blob/main/docs/architecture/PHASE1-IMPLEMENTATION-PLAN.md</x:v>
      </x:c>
      <x:c r="Y14" s="26" t="str">
        <x:v>Define the first memory-creating release with explicit-date text upload and authentic Calendar/Journal Day recall.</x:v>
      </x:c>
      <x:c r="Z14" s="26" t="str">
        <x:v>Release document docs/product/releases/PRD-R1-MANUAL-JOURNAL-ARCHIVE.md exists, passes link/requirement validation, and separates council-delegated evidence gates from specifically named non-delegable human acts.</x:v>
      </x:c>
      <x:c r="AA14" s="26" t="str">
        <x:v>Planning evidence only; no production data mutation. Any later implementation still needs its own migration, restore, and rollback proof.</x:v>
      </x:c>
      <x:c r="AB14" s="26" t="str">
        <x:v>This planning artifact is complete; it does not claim feature implementation, deployment, production readiness, or release acceptance.</x:v>
      </x:c>
      <x:c r="AC14" s="26" t="str">
        <x:v>https://github.com/arunpr614/Life-Reflection/issues/10</x:v>
      </x:c>
    </x:row>
    <x:row r="15" ht="90" customHeight="1">
      <x:c r="A15" s="26" t="str">
        <x:v>UX-R1-001</x:v>
      </x:c>
      <x:c r="B15" s="26" t="str">
        <x:v>Calendar/Day/Upload Designs</x:v>
      </x:c>
      <x:c r="C15" s="26" t="str">
        <x:v>Backlog</x:v>
      </x:c>
      <x:c r="D15" s="26" t="str">
        <x:v>Incomplete</x:v>
      </x:c>
      <x:c r="E15" s="26" t="str">
        <x:v>No</x:v>
      </x:c>
      <x:c r="F15" s="26" t="str">
        <x:v>future-release-gated</x:v>
      </x:c>
      <x:c r="G15" s="26" t="str">
        <x:v>R1</x:v>
      </x:c>
      <x:c r="H15" s="26" t="str">
        <x:v>Design</x:v>
      </x:c>
      <x:c r="I15" s="26" t="str">
        <x:v>UI/UX Designer</x:v>
      </x:c>
      <x:c r="J15" s="26" t="str">
        <x:v>High</x:v>
      </x:c>
      <x:c r="K15" s="35" t="n">
        <x:v>46265</x:v>
      </x:c>
      <x:c r="L15" s="35" t="n">
        <x:v>46269</x:v>
      </x:c>
      <x:c r="M15" s="26" t="n">
        <x:f>IF(OR(K15="",L15=""),"",L15-K15+1)</x:f>
        <x:v>5</x:v>
      </x:c>
      <x:c r="N15" s="26" t="str">
        <x:v>LID-SCP-002, LID-SCP-003, LID-UP-001, LID-UP-003, LID-REF-001, LID-REF-004, LID-REF-005, LID-REF-006</x:v>
      </x:c>
      <x:c r="O15" s="26" t="str">
        <x:v>PRD-R1-001</x:v>
      </x:c>
      <x:c r="P15" s="26" t="str">
        <x:v>https://github.com/arunpr614/Life-Reflection/blob/main/docs/product/releases/PRD-R1-MANUAL-JOURNAL-ARCHIVE.md</x:v>
      </x:c>
      <x:c r="Q15" s="26" t="str">
        <x:v>https://github.com/arunpr614/Life-Reflection/blob/main/docs/work-items/UX-R1-001/P0-UX-R1-001-PRD.md</x:v>
      </x:c>
      <x:c r="R15" s="26" t="str">
        <x:v>https://github.com/arunpr614/Life-Reflection/blob/main/docs/work-items/UX-R1-001/P0-UX-R1-001-TECHNICAL-PLAN.md</x:v>
      </x:c>
      <x:c r="S15" s="26" t="str">
        <x:v>https://github.com/arunpr614/Life-Reflection/blob/main/docs/work-items/UX-R1-001/P0-UX-R1-001-DESIGN-SPEC.md</x:v>
      </x:c>
      <x:c r="T15" s="26" t="str">
        <x:v>https://github.com/arunpr614/Life-Reflection/blob/main/docs/work-items/UX-R1-001/P0-UX-R1-001-QA-PLAN.md</x:v>
      </x:c>
      <x:c r="U15" s="26" t="str">
        <x:v>https://github.com/arunpr614/Life-Reflection/blob/main/docs/work-items/UX-R1-001/P0-UX-R1-001-DELIVERY-CHECKLIST.md</x:v>
      </x:c>
      <x:c r="V15" s="26" t="str">
        <x:v>https://github.com/arunpr614/Life-Reflection/blob/main/docs/work-items/UX-R1-001/P0-UX-R1-001-COUNCIL-READINESS.md</x:v>
      </x:c>
      <x:c r="W15" s="26" t="str">
        <x:v>https://github.com/arunpr614/Life-Reflection/blob/main/docs/council/UX-DESIGN-REVIEW.md</x:v>
      </x:c>
      <x:c r="X15" s="26" t="str">
        <x:v>https://github.com/arunpr614/Life-Reflection/blob/main/docs/architecture/PHASE1-IMPLEMENTATION-PLAN.md</x:v>
      </x:c>
      <x:c r="Y15" s="26" t="str">
        <x:v>Finalize Calendar, Journal Day, upload, empty/loading/error, responsive, theme, and accessibility states.</x:v>
      </x:c>
      <x:c r="Z15" s="26" t="str">
        <x:v>Approved task-specific design for UX-R1-001 — Calendar/Day/Upload Designs links complete normal/empty/loading/error/interruption/destructive states, responsive behavior, accessibility annotations, prototype dispositions, and Designer sign-off.</x:v>
      </x:c>
      <x:c r="AA15" s="26" t="str">
        <x:v>Planning evidence only; no production data mutation. Any later implementation still needs its own migration, restore, and rollback proof.</x:v>
      </x:c>
      <x:c r="AB15" s="26" t="str">
        <x:v>Move to Done only when the named task evidence exists; prototype or document intent cannot prove implementation or release completion.</x:v>
      </x:c>
      <x:c r="AC15" s="26" t="str">
        <x:v>https://github.com/arunpr614/Life-Reflection/issues/11</x:v>
      </x:c>
    </x:row>
    <x:row r="16" ht="90" customHeight="1">
      <x:c r="A16" s="26" t="str">
        <x:v>ARCH-R1-001</x:v>
      </x:c>
      <x:c r="B16" s="26" t="str">
        <x:v>Journal/Source/Encryption Schema</x:v>
      </x:c>
      <x:c r="C16" s="26" t="str">
        <x:v>Backlog</x:v>
      </x:c>
      <x:c r="D16" s="26" t="str">
        <x:v>Incomplete</x:v>
      </x:c>
      <x:c r="E16" s="26" t="str">
        <x:v>No</x:v>
      </x:c>
      <x:c r="F16" s="26" t="str">
        <x:v>future-release-gated</x:v>
      </x:c>
      <x:c r="G16" s="26" t="str">
        <x:v>R1</x:v>
      </x:c>
      <x:c r="H16" s="26" t="str">
        <x:v>Architecture</x:v>
      </x:c>
      <x:c r="I16" s="26" t="str">
        <x:v>Technical Architect</x:v>
      </x:c>
      <x:c r="J16" s="26" t="str">
        <x:v>High</x:v>
      </x:c>
      <x:c r="K16" s="35" t="n">
        <x:v>46265</x:v>
      </x:c>
      <x:c r="L16" s="35" t="n">
        <x:v>46269</x:v>
      </x:c>
      <x:c r="M16" s="26" t="n">
        <x:f>IF(OR(K16="",L16=""),"",L16-K16+1)</x:f>
        <x:v>5</x:v>
      </x:c>
      <x:c r="N16" s="26" t="str">
        <x:v>LID-SCP-002, LID-SCP-003, LID-UP-001, LID-UP-002, LID-UP-003, LID-OPS-011, LID-OPS-018</x:v>
      </x:c>
      <x:c r="O16" s="26" t="str">
        <x:v>PRD-R1-001, REL-R0-001</x:v>
      </x:c>
      <x:c r="P16" s="26" t="str">
        <x:v>https://github.com/arunpr614/Life-Reflection/blob/main/docs/product/releases/PRD-R1-MANUAL-JOURNAL-ARCHIVE.md</x:v>
      </x:c>
      <x:c r="Q16" s="26" t="str">
        <x:v>https://github.com/arunpr614/Life-Reflection/blob/main/docs/work-items/ARCH-R1-001/P0-ARCH-R1-001-PRD.md</x:v>
      </x:c>
      <x:c r="R16" s="26" t="str">
        <x:v>https://github.com/arunpr614/Life-Reflection/blob/main/docs/work-items/ARCH-R1-001/P0-ARCH-R1-001-TECHNICAL-PLAN.md</x:v>
      </x:c>
      <x:c r="S16" s="26" t="str">
        <x:v>https://github.com/arunpr614/Life-Reflection/blob/main/docs/work-items/ARCH-R1-001/P0-ARCH-R1-001-DESIGN-SPEC.md</x:v>
      </x:c>
      <x:c r="T16" s="26" t="str">
        <x:v>https://github.com/arunpr614/Life-Reflection/blob/main/docs/work-items/ARCH-R1-001/P0-ARCH-R1-001-QA-PLAN.md</x:v>
      </x:c>
      <x:c r="U16" s="26" t="str">
        <x:v>https://github.com/arunpr614/Life-Reflection/blob/main/docs/work-items/ARCH-R1-001/P0-ARCH-R1-001-DELIVERY-CHECKLIST.md</x:v>
      </x:c>
      <x:c r="V16" s="26" t="str">
        <x:v>https://github.com/arunpr614/Life-Reflection/blob/main/docs/work-items/ARCH-R1-001/P0-ARCH-R1-001-COUNCIL-READINESS.md</x:v>
      </x:c>
      <x:c r="W16" s="26" t="str">
        <x:v>https://github.com/arunpr614/Life-Reflection/blob/main/docs/council/UX-DESIGN-REVIEW.md</x:v>
      </x:c>
      <x:c r="X16" s="26" t="str">
        <x:v>https://github.com/arunpr614/Life-Reflection/blob/main/docs/architecture/PHASE1-IMPLEMENTATION-PLAN.md</x:v>
      </x:c>
      <x:c r="Y16" s="26" t="str">
        <x:v>Define Journal Day, immutable source file, checksum, encryption, index, backup, restore, and migration contracts.</x:v>
      </x:c>
      <x:c r="Z16" s="26" t="str">
        <x:v>Approved task-specific technical plan for ARCH-R1-001 — Journal/Source/Encryption Schema links owned modules, ADRs, threats/data flows, interfaces/data shapes, capacity, migration, restore, rollback, and Architect sign-off.</x:v>
      </x:c>
      <x:c r="AA16" s="26" t="str">
        <x:v>No personal-data mutation is authorized by this task; it must define or prove reversible deployment and recovery before dependent implementation.</x:v>
      </x:c>
      <x:c r="AB16" s="26" t="str">
        <x:v>Move to Done only when the named task evidence exists; prototype or document intent cannot prove implementation or release completion.</x:v>
      </x:c>
      <x:c r="AC16" s="26" t="str">
        <x:v>https://github.com/arunpr614/Life-Reflection/issues/12</x:v>
      </x:c>
    </x:row>
    <x:row r="17" ht="90" customHeight="1">
      <x:c r="A17" s="26" t="str">
        <x:v>ENG-R1-001</x:v>
      </x:c>
      <x:c r="B17" s="26" t="str">
        <x:v>Manual Upload &amp; Reflection Core</x:v>
      </x:c>
      <x:c r="C17" s="26" t="str">
        <x:v>Backlog</x:v>
      </x:c>
      <x:c r="D17" s="26" t="str">
        <x:v>Incomplete</x:v>
      </x:c>
      <x:c r="E17" s="26" t="str">
        <x:v>No</x:v>
      </x:c>
      <x:c r="F17" s="26" t="str">
        <x:v>future-release-gated</x:v>
      </x:c>
      <x:c r="G17" s="26" t="str">
        <x:v>R1</x:v>
      </x:c>
      <x:c r="H17" s="26" t="str">
        <x:v>Implementation</x:v>
      </x:c>
      <x:c r="I17" s="26" t="str">
        <x:v>Engineering</x:v>
      </x:c>
      <x:c r="J17" s="26" t="str">
        <x:v>High</x:v>
      </x:c>
      <x:c r="K17" s="35" t="n">
        <x:v>46268</x:v>
      </x:c>
      <x:c r="L17" s="35" t="n">
        <x:v>46280</x:v>
      </x:c>
      <x:c r="M17" s="26" t="n">
        <x:f>IF(OR(K17="",L17=""),"",L17-K17+1)</x:f>
        <x:v>13</x:v>
      </x:c>
      <x:c r="N17" s="26" t="str">
        <x:v>LID-SCP-002, LID-SCP-003, LID-UP-001, LID-UP-002, LID-UP-003, LID-REF-001, LID-REF-004, LID-REF-005, LID-REF-006, LID-OPS-011, LID-OPS-018</x:v>
      </x:c>
      <x:c r="O17" s="26" t="str">
        <x:v>UX-R1-001, ARCH-R1-001, REL-R0-001</x:v>
      </x:c>
      <x:c r="P17" s="26" t="str">
        <x:v>https://github.com/arunpr614/Life-Reflection/blob/main/docs/product/releases/PRD-R1-MANUAL-JOURNAL-ARCHIVE.md</x:v>
      </x:c>
      <x:c r="Q17" s="26" t="str">
        <x:v>https://github.com/arunpr614/Life-Reflection/blob/main/docs/work-items/ENG-R1-001/P0-ENG-R1-001-PRD.md</x:v>
      </x:c>
      <x:c r="R17" s="26" t="str">
        <x:v>https://github.com/arunpr614/Life-Reflection/blob/main/docs/work-items/ENG-R1-001/P0-ENG-R1-001-TECHNICAL-PLAN.md</x:v>
      </x:c>
      <x:c r="S17" s="26" t="str">
        <x:v>https://github.com/arunpr614/Life-Reflection/blob/main/docs/work-items/ENG-R1-001/P0-ENG-R1-001-DESIGN-SPEC.md</x:v>
      </x:c>
      <x:c r="T17" s="26" t="str">
        <x:v>https://github.com/arunpr614/Life-Reflection/blob/main/docs/work-items/ENG-R1-001/P0-ENG-R1-001-QA-PLAN.md</x:v>
      </x:c>
      <x:c r="U17" s="26" t="str">
        <x:v>https://github.com/arunpr614/Life-Reflection/blob/main/docs/work-items/ENG-R1-001/P0-ENG-R1-001-DELIVERY-CHECKLIST.md</x:v>
      </x:c>
      <x:c r="V17" s="26" t="str">
        <x:v>https://github.com/arunpr614/Life-Reflection/blob/main/docs/work-items/ENG-R1-001/P0-ENG-R1-001-COUNCIL-READINESS.md</x:v>
      </x:c>
      <x:c r="W17" s="26" t="str">
        <x:v>https://github.com/arunpr614/Life-Reflection/blob/main/docs/council/UX-DESIGN-REVIEW.md</x:v>
      </x:c>
      <x:c r="X17" s="26" t="str">
        <x:v>https://github.com/arunpr614/Life-Reflection/blob/main/docs/architecture/PHASE1-IMPLEMENTATION-PLAN.md</x:v>
      </x:c>
      <x:c r="Y17" s="26" t="str">
        <x:v>Implement durable explicit-date text upload, duplicate override, Calendar, and authentic Journal Day display.</x:v>
      </x:c>
      <x:c r="Z17" s="26" t="str">
        <x:v>Merged implementation for ENG-R1-001 — Manual Upload &amp; Reflection Core proves “Implement durable explicit-date text upload, duplicate override, Calendar, and authentic Journal Day display.” with task-specific tests, immutable build/SBOM, migrations, sanitized deployment evidence when authorized, separate-path restore, rollback, and no-regression results.</x:v>
      </x:c>
      <x:c r="AA17" s="26" t="str">
        <x:v>Adds journal-day, source-file, checksum, and correction-ready records; migration must be reversible and backup/restore coverage must pass before release acceptance.</x:v>
      </x:c>
      <x:c r="AB17" s="26" t="str">
        <x:v>Move to Done only when the named task evidence exists; prototype or document intent cannot prove implementation or release completion.</x:v>
      </x:c>
      <x:c r="AC17" s="26" t="str">
        <x:v>https://github.com/arunpr614/Life-Reflection/issues/13</x:v>
      </x:c>
    </x:row>
    <x:row r="18" ht="90" customHeight="1">
      <x:c r="A18" s="26" t="str">
        <x:v>REL-R1-001</x:v>
      </x:c>
      <x:c r="B18" s="26" t="str">
        <x:v>First-memory Restore/Rollback Acceptance</x:v>
      </x:c>
      <x:c r="C18" s="26" t="str">
        <x:v>Backlog</x:v>
      </x:c>
      <x:c r="D18" s="26" t="str">
        <x:v>Incomplete</x:v>
      </x:c>
      <x:c r="E18" s="26" t="str">
        <x:v>No</x:v>
      </x:c>
      <x:c r="F18" s="26" t="str">
        <x:v>future-release-gated</x:v>
      </x:c>
      <x:c r="G18" s="26" t="str">
        <x:v>R1</x:v>
      </x:c>
      <x:c r="H18" s="26" t="str">
        <x:v>Release acceptance</x:v>
      </x:c>
      <x:c r="I18" s="26" t="str">
        <x:v>Project Manager + Independent QA</x:v>
      </x:c>
      <x:c r="J18" s="26" t="str">
        <x:v>High</x:v>
      </x:c>
      <x:c r="K18" s="35" t="n">
        <x:v>46281</x:v>
      </x:c>
      <x:c r="L18" s="35" t="n">
        <x:v>46283</x:v>
      </x:c>
      <x:c r="M18" s="26" t="n">
        <x:f>IF(OR(K18="",L18=""),"",L18-K18+1)</x:f>
        <x:v>3</x:v>
      </x:c>
      <x:c r="N18" s="26" t="str">
        <x:v>LID-SCP-002, LID-SCP-003, LID-UP-001, LID-UP-002, LID-UP-003, LID-REF-001, LID-REF-004, LID-REF-005, LID-REF-006, LID-OPS-011, LID-OPS-018</x:v>
      </x:c>
      <x:c r="O18" s="26" t="str">
        <x:v>ENG-R1-001</x:v>
      </x:c>
      <x:c r="P18" s="26" t="str">
        <x:v>https://github.com/arunpr614/Life-Reflection/blob/main/docs/product/releases/PRD-R1-MANUAL-JOURNAL-ARCHIVE.md</x:v>
      </x:c>
      <x:c r="Q18" s="26" t="str">
        <x:v>https://github.com/arunpr614/Life-Reflection/blob/main/docs/work-items/REL-R1-001/P0-REL-R1-001-PRD.md</x:v>
      </x:c>
      <x:c r="R18" s="26" t="str">
        <x:v>https://github.com/arunpr614/Life-Reflection/blob/main/docs/work-items/REL-R1-001/P0-REL-R1-001-TECHNICAL-PLAN.md</x:v>
      </x:c>
      <x:c r="S18" s="26" t="str">
        <x:v>https://github.com/arunpr614/Life-Reflection/blob/main/docs/work-items/REL-R1-001/P0-REL-R1-001-DESIGN-SPEC.md</x:v>
      </x:c>
      <x:c r="T18" s="26" t="str">
        <x:v>https://github.com/arunpr614/Life-Reflection/blob/main/docs/work-items/REL-R1-001/P0-REL-R1-001-QA-PLAN.md</x:v>
      </x:c>
      <x:c r="U18" s="26" t="str">
        <x:v>https://github.com/arunpr614/Life-Reflection/blob/main/docs/work-items/REL-R1-001/P0-REL-R1-001-DELIVERY-CHECKLIST.md</x:v>
      </x:c>
      <x:c r="V18" s="26" t="str">
        <x:v>https://github.com/arunpr614/Life-Reflection/blob/main/docs/work-items/REL-R1-001/P0-REL-R1-001-COUNCIL-READINESS.md</x:v>
      </x:c>
      <x:c r="W18" s="26" t="str">
        <x:v>https://github.com/arunpr614/Life-Reflection/blob/main/docs/council/UX-DESIGN-REVIEW.md</x:v>
      </x:c>
      <x:c r="X18" s="26" t="str">
        <x:v>https://github.com/arunpr614/Life-Reflection/blob/main/docs/architecture/PHASE1-IMPLEMENTATION-PLAN.md</x:v>
      </x:c>
      <x:c r="Y18" s="26" t="str">
        <x:v>Verify one owner-approved source survives upload, restart, export, backup, restore, and rollback without time/date drift.</x:v>
      </x:c>
      <x:c r="Z18" s="26" t="str">
        <x:v>Release acceptance for REL-R1-001 — First-memory Restore/Rollback Acceptance links independent QA, five-seat review, every task-specific dossier, backup/separate-path restore for each new shape, rollback, defect gate, and proceed/hold/rollback record; a human attestation is included only for a named non-delegable act.</x:v>
      </x:c>
      <x:c r="AA18" s="26" t="str">
        <x:v>Validates rollback and restore for every persistent shape introduced by the milestone; acceptance never substitutes a successful backup upload for restore evidence.</x:v>
      </x:c>
      <x:c r="AB18" s="26" t="str">
        <x:v>Move to Done only when the named task evidence exists; prototype or document intent cannot prove implementation or release completion.</x:v>
      </x:c>
      <x:c r="AC18" s="26" t="str">
        <x:v>https://github.com/arunpr614/Life-Reflection/issues/14</x:v>
      </x:c>
    </x:row>
    <x:row r="19" ht="90" customHeight="1">
      <x:c r="A19" s="26" t="str">
        <x:v>PRD-R2-001</x:v>
      </x:c>
      <x:c r="B19" s="26" t="str">
        <x:v>Telegram Capture PRD</x:v>
      </x:c>
      <x:c r="C19" s="26" t="str">
        <x:v>Done</x:v>
      </x:c>
      <x:c r="D19" s="26" t="str">
        <x:v>Incomplete</x:v>
      </x:c>
      <x:c r="E19" s="26" t="str">
        <x:v>No</x:v>
      </x:c>
      <x:c r="F19" s="26" t="str">
        <x:v>planning-only-historical</x:v>
      </x:c>
      <x:c r="G19" s="26" t="str">
        <x:v>R2</x:v>
      </x:c>
      <x:c r="H19" s="26" t="str">
        <x:v>Product definition</x:v>
      </x:c>
      <x:c r="I19" s="26" t="str">
        <x:v>Product Manager</x:v>
      </x:c>
      <x:c r="J19" s="26" t="str">
        <x:v>High</x:v>
      </x:c>
      <x:c r="K19" s="35" t="n">
        <x:v>46286</x:v>
      </x:c>
      <x:c r="L19" s="35" t="n">
        <x:v>46288</x:v>
      </x:c>
      <x:c r="M19" s="26" t="n">
        <x:f>IF(OR(K19="",L19=""),"",L19-K19+1)</x:f>
        <x:v>3</x:v>
      </x:c>
      <x:c r="N19" s="26" t="str">
        <x:v>LID-TG-001, LID-TG-002, LID-TG-003, LID-TG-004, LID-TG-005, LID-TG-006, LID-TG-007, LID-TG-008, LID-TG-009, LID-TG-010, LID-OPS-005, LID-OPS-009, LID-OPS-011, LID-OPS-015, LID-OPS-018</x:v>
      </x:c>
      <x:c r="O19" s="26" t="str">
        <x:v>PC-001</x:v>
      </x:c>
      <x:c r="P19" s="26" t="str">
        <x:v>https://github.com/arunpr614/Life-Reflection/blob/main/docs/product/releases/PRD-R2-TELEGRAM-PHOTO-CAPTURE.md</x:v>
      </x:c>
      <x:c r="Q19" s="26" t="str">
        <x:v>https://github.com/arunpr614/Life-Reflection/blob/main/docs/work-items/PRD-R2-001/P0-PRD-R2-001-PRD.md</x:v>
      </x:c>
      <x:c r="R19" s="26" t="str">
        <x:v>https://github.com/arunpr614/Life-Reflection/blob/main/docs/work-items/PRD-R2-001/P0-PRD-R2-001-TECHNICAL-PLAN.md</x:v>
      </x:c>
      <x:c r="S19" s="26" t="str">
        <x:v>https://github.com/arunpr614/Life-Reflection/blob/main/docs/work-items/PRD-R2-001/P0-PRD-R2-001-DESIGN-SPEC.md</x:v>
      </x:c>
      <x:c r="T19" s="26" t="str">
        <x:v>https://github.com/arunpr614/Life-Reflection/blob/main/docs/work-items/PRD-R2-001/P0-PRD-R2-001-QA-PLAN.md</x:v>
      </x:c>
      <x:c r="U19" s="26" t="str">
        <x:v>https://github.com/arunpr614/Life-Reflection/blob/main/docs/work-items/PRD-R2-001/P0-PRD-R2-001-DELIVERY-CHECKLIST.md</x:v>
      </x:c>
      <x:c r="V19" s="26" t="str">
        <x:v>https://github.com/arunpr614/Life-Reflection/blob/main/docs/work-items/PRD-R2-001/P0-PRD-R2-001-COUNCIL-READINESS.md</x:v>
      </x:c>
      <x:c r="W19" s="26" t="str">
        <x:v>https://github.com/arunpr614/Life-Reflection/blob/main/docs/council/UX-DESIGN-REVIEW.md</x:v>
      </x:c>
      <x:c r="X19" s="26" t="str">
        <x:v>https://github.com/arunpr614/Life-Reflection/blob/main/docs/architecture/PHASE1-IMPLEMENTATION-PLAN.md</x:v>
      </x:c>
      <x:c r="Y19" s="26" t="str">
        <x:v>Define authorized media forms, dating/review, durable acknowledgement, gallery, duplicate, caption, and privacy behavior.</x:v>
      </x:c>
      <x:c r="Z19" s="26" t="str">
        <x:v>Release document docs/product/releases/PRD-R2-TELEGRAM-PHOTO-CAPTURE.md exists, passes link/requirement validation, and separates council-delegated evidence gates from specifically named non-delegable human acts.</x:v>
      </x:c>
      <x:c r="AA19" s="26" t="str">
        <x:v>Planning evidence only; no production data mutation. Any later implementation still needs its own migration, restore, and rollback proof.</x:v>
      </x:c>
      <x:c r="AB19" s="26" t="str">
        <x:v>This planning artifact is complete; it does not claim feature implementation, deployment, production readiness, or release acceptance.</x:v>
      </x:c>
      <x:c r="AC19" s="26" t="str">
        <x:v>https://github.com/arunpr614/Life-Reflection/issues/15</x:v>
      </x:c>
    </x:row>
    <x:row r="20" ht="90" customHeight="1">
      <x:c r="A20" s="26" t="str">
        <x:v>UX-R2-001</x:v>
      </x:c>
      <x:c r="B20" s="26" t="str">
        <x:v>Telegram/Date Review/Gallery Designs</x:v>
      </x:c>
      <x:c r="C20" s="26" t="str">
        <x:v>Backlog</x:v>
      </x:c>
      <x:c r="D20" s="26" t="str">
        <x:v>Incomplete</x:v>
      </x:c>
      <x:c r="E20" s="26" t="str">
        <x:v>No</x:v>
      </x:c>
      <x:c r="F20" s="26" t="str">
        <x:v>future-release-gated</x:v>
      </x:c>
      <x:c r="G20" s="26" t="str">
        <x:v>R2</x:v>
      </x:c>
      <x:c r="H20" s="26" t="str">
        <x:v>Design</x:v>
      </x:c>
      <x:c r="I20" s="26" t="str">
        <x:v>UI/UX Designer</x:v>
      </x:c>
      <x:c r="J20" s="26" t="str">
        <x:v>High</x:v>
      </x:c>
      <x:c r="K20" s="35" t="n">
        <x:v>46286</x:v>
      </x:c>
      <x:c r="L20" s="35" t="n">
        <x:v>46290</x:v>
      </x:c>
      <x:c r="M20" s="26" t="n">
        <x:f>IF(OR(K20="",L20=""),"",L20-K20+1)</x:f>
        <x:v>5</x:v>
      </x:c>
      <x:c r="N20" s="26" t="str">
        <x:v>LID-TG-002, LID-TG-003, LID-TG-004, LID-TG-005, LID-TG-006, LID-TG-007, LID-TG-008, LID-TG-009, LID-OPS-015</x:v>
      </x:c>
      <x:c r="O20" s="26" t="str">
        <x:v>PRD-R2-001</x:v>
      </x:c>
      <x:c r="P20" s="26" t="str">
        <x:v>https://github.com/arunpr614/Life-Reflection/blob/main/docs/product/releases/PRD-R2-TELEGRAM-PHOTO-CAPTURE.md</x:v>
      </x:c>
      <x:c r="Q20" s="26" t="str">
        <x:v>https://github.com/arunpr614/Life-Reflection/blob/main/docs/work-items/UX-R2-001/P0-UX-R2-001-PRD.md</x:v>
      </x:c>
      <x:c r="R20" s="26" t="str">
        <x:v>https://github.com/arunpr614/Life-Reflection/blob/main/docs/work-items/UX-R2-001/P0-UX-R2-001-TECHNICAL-PLAN.md</x:v>
      </x:c>
      <x:c r="S20" s="26" t="str">
        <x:v>https://github.com/arunpr614/Life-Reflection/blob/main/docs/work-items/UX-R2-001/P0-UX-R2-001-DESIGN-SPEC.md</x:v>
      </x:c>
      <x:c r="T20" s="26" t="str">
        <x:v>https://github.com/arunpr614/Life-Reflection/blob/main/docs/work-items/UX-R2-001/P0-UX-R2-001-QA-PLAN.md</x:v>
      </x:c>
      <x:c r="U20" s="26" t="str">
        <x:v>https://github.com/arunpr614/Life-Reflection/blob/main/docs/work-items/UX-R2-001/P0-UX-R2-001-DELIVERY-CHECKLIST.md</x:v>
      </x:c>
      <x:c r="V20" s="26" t="str">
        <x:v>https://github.com/arunpr614/Life-Reflection/blob/main/docs/work-items/UX-R2-001/P0-UX-R2-001-COUNCIL-READINESS.md</x:v>
      </x:c>
      <x:c r="W20" s="26" t="str">
        <x:v>https://github.com/arunpr614/Life-Reflection/blob/main/docs/council/UX-DESIGN-REVIEW.md</x:v>
      </x:c>
      <x:c r="X20" s="26" t="str">
        <x:v>https://github.com/arunpr614/Life-Reflection/blob/main/docs/architecture/PHASE1-IMPLEMENTATION-PLAN.md</x:v>
      </x:c>
      <x:c r="Y20" s="26" t="str">
        <x:v>Design companion messages, media/date failures, Needs Date Review, gallery, cover, duplicates, and media management.</x:v>
      </x:c>
      <x:c r="Z20" s="26" t="str">
        <x:v>Approved task-specific design for UX-R2-001 — Telegram/Date Review/Gallery Designs links complete normal/empty/loading/error/interruption/destructive states, responsive behavior, accessibility annotations, prototype dispositions, and Designer sign-off.</x:v>
      </x:c>
      <x:c r="AA20" s="26" t="str">
        <x:v>Planning evidence only; no production data mutation. Any later implementation still needs its own migration, restore, and rollback proof.</x:v>
      </x:c>
      <x:c r="AB20" s="26" t="str">
        <x:v>Move to Done only when the named task evidence exists; prototype or document intent cannot prove implementation or release completion.</x:v>
      </x:c>
      <x:c r="AC20" s="26" t="str">
        <x:v>https://github.com/arunpr614/Life-Reflection/issues/16</x:v>
      </x:c>
    </x:row>
    <x:row r="21" ht="90" customHeight="1">
      <x:c r="A21" s="26" t="str">
        <x:v>ARCH-R2-001</x:v>
      </x:c>
      <x:c r="B21" s="26" t="str">
        <x:v>Media Pipeline &amp; Asset Lifecycle</x:v>
      </x:c>
      <x:c r="C21" s="26" t="str">
        <x:v>Backlog</x:v>
      </x:c>
      <x:c r="D21" s="26" t="str">
        <x:v>Incomplete</x:v>
      </x:c>
      <x:c r="E21" s="26" t="str">
        <x:v>No</x:v>
      </x:c>
      <x:c r="F21" s="26" t="str">
        <x:v>future-release-gated</x:v>
      </x:c>
      <x:c r="G21" s="26" t="str">
        <x:v>R2</x:v>
      </x:c>
      <x:c r="H21" s="26" t="str">
        <x:v>Architecture</x:v>
      </x:c>
      <x:c r="I21" s="26" t="str">
        <x:v>Technical Architect</x:v>
      </x:c>
      <x:c r="J21" s="26" t="str">
        <x:v>High</x:v>
      </x:c>
      <x:c r="K21" s="35" t="n">
        <x:v>46286</x:v>
      </x:c>
      <x:c r="L21" s="35" t="n">
        <x:v>46290</x:v>
      </x:c>
      <x:c r="M21" s="26" t="n">
        <x:f>IF(OR(K21="",L21=""),"",L21-K21+1)</x:f>
        <x:v>5</x:v>
      </x:c>
      <x:c r="N21" s="26" t="str">
        <x:v>LID-TG-001, LID-TG-002, LID-TG-003, LID-TG-004, LID-TG-005, LID-TG-006, LID-TG-007, LID-TG-008, LID-TG-009, LID-TG-010, LID-OPS-005, LID-OPS-009, LID-OPS-011, LID-OPS-015, LID-OPS-018</x:v>
      </x:c>
      <x:c r="O21" s="26" t="str">
        <x:v>PRD-R2-001, REL-R1-001</x:v>
      </x:c>
      <x:c r="P21" s="26" t="str">
        <x:v>https://github.com/arunpr614/Life-Reflection/blob/main/docs/product/releases/PRD-R2-TELEGRAM-PHOTO-CAPTURE.md</x:v>
      </x:c>
      <x:c r="Q21" s="26" t="str">
        <x:v>https://github.com/arunpr614/Life-Reflection/blob/main/docs/work-items/ARCH-R2-001/P0-ARCH-R2-001-PRD.md</x:v>
      </x:c>
      <x:c r="R21" s="26" t="str">
        <x:v>https://github.com/arunpr614/Life-Reflection/blob/main/docs/work-items/ARCH-R2-001/P0-ARCH-R2-001-TECHNICAL-PLAN.md</x:v>
      </x:c>
      <x:c r="S21" s="26" t="str">
        <x:v>https://github.com/arunpr614/Life-Reflection/blob/main/docs/work-items/ARCH-R2-001/P0-ARCH-R2-001-DESIGN-SPEC.md</x:v>
      </x:c>
      <x:c r="T21" s="26" t="str">
        <x:v>https://github.com/arunpr614/Life-Reflection/blob/main/docs/work-items/ARCH-R2-001/P0-ARCH-R2-001-QA-PLAN.md</x:v>
      </x:c>
      <x:c r="U21" s="26" t="str">
        <x:v>https://github.com/arunpr614/Life-Reflection/blob/main/docs/work-items/ARCH-R2-001/P0-ARCH-R2-001-DELIVERY-CHECKLIST.md</x:v>
      </x:c>
      <x:c r="V21" s="26" t="str">
        <x:v>https://github.com/arunpr614/Life-Reflection/blob/main/docs/work-items/ARCH-R2-001/P0-ARCH-R2-001-COUNCIL-READINESS.md</x:v>
      </x:c>
      <x:c r="W21" s="26" t="str">
        <x:v>https://github.com/arunpr614/Life-Reflection/blob/main/docs/council/UX-DESIGN-REVIEW.md</x:v>
      </x:c>
      <x:c r="X21" s="26" t="str">
        <x:v>https://github.com/arunpr614/Life-Reflection/blob/main/docs/architecture/PHASE1-IMPLEMENTATION-PLAN.md</x:v>
      </x:c>
      <x:c r="Y21" s="26" t="str">
        <x:v>Define callback authorization, bounded staging/decoding, ciphertext/derivative flow, media references, deduplication, and restore.</x:v>
      </x:c>
      <x:c r="Z21" s="26" t="str">
        <x:v>Approved task-specific technical plan for ARCH-R2-001 — Media Pipeline &amp; Asset Lifecycle links owned modules, ADRs, threats/data flows, interfaces/data shapes, capacity, migration, restore, rollback, and Architect sign-off.</x:v>
      </x:c>
      <x:c r="AA21" s="26" t="str">
        <x:v>No personal-data mutation is authorized by this task; it must define or prove reversible deployment and recovery before dependent implementation.</x:v>
      </x:c>
      <x:c r="AB21" s="26" t="str">
        <x:v>Move to Done only when the named task evidence exists; prototype or document intent cannot prove implementation or release completion.</x:v>
      </x:c>
      <x:c r="AC21" s="26" t="str">
        <x:v>https://github.com/arunpr614/Life-Reflection/issues/17</x:v>
      </x:c>
    </x:row>
    <x:row r="22" ht="90" customHeight="1">
      <x:c r="A22" s="26" t="str">
        <x:v>ENG-R2-001</x:v>
      </x:c>
      <x:c r="B22" s="26" t="str">
        <x:v>Telegram Authorization &amp; Durable Capture</x:v>
      </x:c>
      <x:c r="C22" s="26" t="str">
        <x:v>Backlog</x:v>
      </x:c>
      <x:c r="D22" s="26" t="str">
        <x:v>Incomplete</x:v>
      </x:c>
      <x:c r="E22" s="26" t="str">
        <x:v>No</x:v>
      </x:c>
      <x:c r="F22" s="26" t="str">
        <x:v>future-release-gated</x:v>
      </x:c>
      <x:c r="G22" s="26" t="str">
        <x:v>R2</x:v>
      </x:c>
      <x:c r="H22" s="26" t="str">
        <x:v>Implementation</x:v>
      </x:c>
      <x:c r="I22" s="26" t="str">
        <x:v>Engineering</x:v>
      </x:c>
      <x:c r="J22" s="26" t="str">
        <x:v>High</x:v>
      </x:c>
      <x:c r="K22" s="35" t="n">
        <x:v>46289</x:v>
      </x:c>
      <x:c r="L22" s="35" t="n">
        <x:v>46297</x:v>
      </x:c>
      <x:c r="M22" s="26" t="n">
        <x:f>IF(OR(K22="",L22=""),"",L22-K22+1)</x:f>
        <x:v>9</x:v>
      </x:c>
      <x:c r="N22" s="26" t="str">
        <x:v>LID-TG-001, LID-TG-002, LID-TG-003, LID-TG-004, LID-TG-005, LID-TG-006, LID-OPS-005, LID-OPS-011, LID-OPS-015, LID-OPS-018</x:v>
      </x:c>
      <x:c r="O22" s="26" t="str">
        <x:v>UX-R2-001, ARCH-R2-001, REL-R1-001</x:v>
      </x:c>
      <x:c r="P22" s="26" t="str">
        <x:v>https://github.com/arunpr614/Life-Reflection/blob/main/docs/product/releases/PRD-R2-TELEGRAM-PHOTO-CAPTURE.md</x:v>
      </x:c>
      <x:c r="Q22" s="26" t="str">
        <x:v>https://github.com/arunpr614/Life-Reflection/blob/main/docs/work-items/ENG-R2-001/P0-ENG-R2-001-PRD.md</x:v>
      </x:c>
      <x:c r="R22" s="26" t="str">
        <x:v>https://github.com/arunpr614/Life-Reflection/blob/main/docs/work-items/ENG-R2-001/P0-ENG-R2-001-TECHNICAL-PLAN.md</x:v>
      </x:c>
      <x:c r="S22" s="26" t="str">
        <x:v>https://github.com/arunpr614/Life-Reflection/blob/main/docs/work-items/ENG-R2-001/P0-ENG-R2-001-DESIGN-SPEC.md</x:v>
      </x:c>
      <x:c r="T22" s="26" t="str">
        <x:v>https://github.com/arunpr614/Life-Reflection/blob/main/docs/work-items/ENG-R2-001/P0-ENG-R2-001-QA-PLAN.md</x:v>
      </x:c>
      <x:c r="U22" s="26" t="str">
        <x:v>https://github.com/arunpr614/Life-Reflection/blob/main/docs/work-items/ENG-R2-001/P0-ENG-R2-001-DELIVERY-CHECKLIST.md</x:v>
      </x:c>
      <x:c r="V22" s="26" t="str">
        <x:v>https://github.com/arunpr614/Life-Reflection/blob/main/docs/work-items/ENG-R2-001/P0-ENG-R2-001-COUNCIL-READINESS.md</x:v>
      </x:c>
      <x:c r="W22" s="26" t="str">
        <x:v>https://github.com/arunpr614/Life-Reflection/blob/main/docs/council/UX-DESIGN-REVIEW.md</x:v>
      </x:c>
      <x:c r="X22" s="26" t="str">
        <x:v>https://github.com/arunpr614/Life-Reflection/blob/main/docs/architecture/PHASE1-IMPLEMENTATION-PLAN.md</x:v>
      </x:c>
      <x:c r="Y22" s="26" t="str">
        <x:v>Implement secret/sender/chat authorization, media validation, exact dating, review holding, and post-commit acknowledgement.</x:v>
      </x:c>
      <x:c r="Z22" s="26" t="str">
        <x:v>Merged implementation for ENG-R2-001 — Telegram Authorization &amp; Durable Capture proves “Implement secret/sender/chat authorization, media validation, exact dating, review holding, and post-commit acknowledgement.” with task-specific tests, immutable build/SBOM, migrations, sanitized deployment evidence when authorized, separate-path restore, rollback, and no-regression results.</x:v>
      </x:c>
      <x:c r="AA22" s="26" t="str">
        <x:v>Adds encrypted media, derivative, gallery, duplicate-reference, and review-queue state; migration must be reversible and backup/restore coverage must pass before release acceptance.</x:v>
      </x:c>
      <x:c r="AB22" s="26" t="str">
        <x:v>Move to Done only when the named task evidence exists; prototype or document intent cannot prove implementation or release completion.</x:v>
      </x:c>
      <x:c r="AC22" s="26" t="str">
        <x:v>https://github.com/arunpr614/Life-Reflection/issues/18</x:v>
      </x:c>
    </x:row>
    <x:row r="23" ht="90" customHeight="1">
      <x:c r="A23" s="26" t="str">
        <x:v>ENG-R2-002</x:v>
      </x:c>
      <x:c r="B23" s="26" t="str">
        <x:v>Gallery/Cover/Dedup/Derivatives</x:v>
      </x:c>
      <x:c r="C23" s="26" t="str">
        <x:v>Backlog</x:v>
      </x:c>
      <x:c r="D23" s="26" t="str">
        <x:v>Incomplete</x:v>
      </x:c>
      <x:c r="E23" s="26" t="str">
        <x:v>No</x:v>
      </x:c>
      <x:c r="F23" s="26" t="str">
        <x:v>future-release-gated</x:v>
      </x:c>
      <x:c r="G23" s="26" t="str">
        <x:v>R2</x:v>
      </x:c>
      <x:c r="H23" s="26" t="str">
        <x:v>Implementation</x:v>
      </x:c>
      <x:c r="I23" s="26" t="str">
        <x:v>Engineering</x:v>
      </x:c>
      <x:c r="J23" s="26" t="str">
        <x:v>High</x:v>
      </x:c>
      <x:c r="K23" s="35" t="n">
        <x:v>46293</x:v>
      </x:c>
      <x:c r="L23" s="35" t="n">
        <x:v>46301</x:v>
      </x:c>
      <x:c r="M23" s="26" t="n">
        <x:f>IF(OR(K23="",L23=""),"",L23-K23+1)</x:f>
        <x:v>9</x:v>
      </x:c>
      <x:c r="N23" s="26" t="str">
        <x:v>LID-TG-007, LID-TG-008, LID-TG-009, LID-TG-010, LID-OPS-009, LID-OPS-011, LID-OPS-018</x:v>
      </x:c>
      <x:c r="O23" s="26" t="str">
        <x:v>ENG-R2-001</x:v>
      </x:c>
      <x:c r="P23" s="26" t="str">
        <x:v>https://github.com/arunpr614/Life-Reflection/blob/main/docs/product/releases/PRD-R2-TELEGRAM-PHOTO-CAPTURE.md</x:v>
      </x:c>
      <x:c r="Q23" s="26" t="str">
        <x:v>https://github.com/arunpr614/Life-Reflection/blob/main/docs/work-items/ENG-R2-002/P0-ENG-R2-002-PRD.md</x:v>
      </x:c>
      <x:c r="R23" s="26" t="str">
        <x:v>https://github.com/arunpr614/Life-Reflection/blob/main/docs/work-items/ENG-R2-002/P0-ENG-R2-002-TECHNICAL-PLAN.md</x:v>
      </x:c>
      <x:c r="S23" s="26" t="str">
        <x:v>https://github.com/arunpr614/Life-Reflection/blob/main/docs/work-items/ENG-R2-002/P0-ENG-R2-002-DESIGN-SPEC.md</x:v>
      </x:c>
      <x:c r="T23" s="26" t="str">
        <x:v>https://github.com/arunpr614/Life-Reflection/blob/main/docs/work-items/ENG-R2-002/P0-ENG-R2-002-QA-PLAN.md</x:v>
      </x:c>
      <x:c r="U23" s="26" t="str">
        <x:v>https://github.com/arunpr614/Life-Reflection/blob/main/docs/work-items/ENG-R2-002/P0-ENG-R2-002-DELIVERY-CHECKLIST.md</x:v>
      </x:c>
      <x:c r="V23" s="26" t="str">
        <x:v>https://github.com/arunpr614/Life-Reflection/blob/main/docs/work-items/ENG-R2-002/P0-ENG-R2-002-COUNCIL-READINESS.md</x:v>
      </x:c>
      <x:c r="W23" s="26" t="str">
        <x:v>https://github.com/arunpr614/Life-Reflection/blob/main/docs/council/UX-DESIGN-REVIEW.md</x:v>
      </x:c>
      <x:c r="X23" s="26" t="str">
        <x:v>https://github.com/arunpr614/Life-Reflection/blob/main/docs/architecture/PHASE1-IMPLEMENTATION-PLAN.md</x:v>
      </x:c>
      <x:c r="Y23" s="26" t="str">
        <x:v>Implement durable gallery order, real-photo cover, global checksum references, captions, byte-preserved Originals, and local metadata-free thumbnails.</x:v>
      </x:c>
      <x:c r="Z23" s="26" t="str">
        <x:v>Merged implementation for ENG-R2-002 — Gallery/Cover/Dedup/Derivatives proves “Implement durable gallery order, real-photo cover, global checksum references, captions, byte-preserved Originals, and local metadata-free thumbnails.” with task-specific tests, immutable build/SBOM, migrations, sanitized deployment evidence when authorized, separate-path restore, rollback, and no-regression results.</x:v>
      </x:c>
      <x:c r="AA23" s="26" t="str">
        <x:v>Adds encrypted media, derivative, gallery, duplicate-reference, and review-queue state; migration must be reversible and backup/restore coverage must pass before release acceptance.</x:v>
      </x:c>
      <x:c r="AB23" s="26" t="str">
        <x:v>Move to Done only when the named task evidence exists; prototype or document intent cannot prove implementation or release completion.</x:v>
      </x:c>
      <x:c r="AC23" s="26" t="str">
        <x:v>https://github.com/arunpr614/Life-Reflection/issues/19</x:v>
      </x:c>
    </x:row>
    <x:row r="24" ht="90" customHeight="1">
      <x:c r="A24" s="26" t="str">
        <x:v>REL-R2-001</x:v>
      </x:c>
      <x:c r="B24" s="26" t="str">
        <x:v>Media Privacy/Restore Acceptance</x:v>
      </x:c>
      <x:c r="C24" s="26" t="str">
        <x:v>Backlog</x:v>
      </x:c>
      <x:c r="D24" s="26" t="str">
        <x:v>Incomplete</x:v>
      </x:c>
      <x:c r="E24" s="26" t="str">
        <x:v>No</x:v>
      </x:c>
      <x:c r="F24" s="26" t="str">
        <x:v>future-release-gated</x:v>
      </x:c>
      <x:c r="G24" s="26" t="str">
        <x:v>R2</x:v>
      </x:c>
      <x:c r="H24" s="26" t="str">
        <x:v>Release acceptance</x:v>
      </x:c>
      <x:c r="I24" s="26" t="str">
        <x:v>Project Manager + Independent QA</x:v>
      </x:c>
      <x:c r="J24" s="26" t="str">
        <x:v>High</x:v>
      </x:c>
      <x:c r="K24" s="35" t="n">
        <x:v>46302</x:v>
      </x:c>
      <x:c r="L24" s="35" t="n">
        <x:v>46304</x:v>
      </x:c>
      <x:c r="M24" s="26" t="n">
        <x:f>IF(OR(K24="",L24=""),"",L24-K24+1)</x:f>
        <x:v>3</x:v>
      </x:c>
      <x:c r="N24" s="26" t="str">
        <x:v>LID-TG-001, LID-TG-002, LID-TG-003, LID-TG-004, LID-TG-005, LID-TG-006, LID-TG-007, LID-TG-008, LID-TG-009, LID-TG-010, LID-OPS-005, LID-OPS-009, LID-OPS-011, LID-OPS-015, LID-OPS-018</x:v>
      </x:c>
      <x:c r="O24" s="26" t="str">
        <x:v>ENG-R2-001, ENG-R2-002</x:v>
      </x:c>
      <x:c r="P24" s="26" t="str">
        <x:v>https://github.com/arunpr614/Life-Reflection/blob/main/docs/product/releases/PRD-R2-TELEGRAM-PHOTO-CAPTURE.md</x:v>
      </x:c>
      <x:c r="Q24" s="26" t="str">
        <x:v>https://github.com/arunpr614/Life-Reflection/blob/main/docs/work-items/REL-R2-001/P0-REL-R2-001-PRD.md</x:v>
      </x:c>
      <x:c r="R24" s="26" t="str">
        <x:v>https://github.com/arunpr614/Life-Reflection/blob/main/docs/work-items/REL-R2-001/P0-REL-R2-001-TECHNICAL-PLAN.md</x:v>
      </x:c>
      <x:c r="S24" s="26" t="str">
        <x:v>https://github.com/arunpr614/Life-Reflection/blob/main/docs/work-items/REL-R2-001/P0-REL-R2-001-DESIGN-SPEC.md</x:v>
      </x:c>
      <x:c r="T24" s="26" t="str">
        <x:v>https://github.com/arunpr614/Life-Reflection/blob/main/docs/work-items/REL-R2-001/P0-REL-R2-001-QA-PLAN.md</x:v>
      </x:c>
      <x:c r="U24" s="26" t="str">
        <x:v>https://github.com/arunpr614/Life-Reflection/blob/main/docs/work-items/REL-R2-001/P0-REL-R2-001-DELIVERY-CHECKLIST.md</x:v>
      </x:c>
      <x:c r="V24" s="26" t="str">
        <x:v>https://github.com/arunpr614/Life-Reflection/blob/main/docs/work-items/REL-R2-001/P0-REL-R2-001-COUNCIL-READINESS.md</x:v>
      </x:c>
      <x:c r="W24" s="26" t="str">
        <x:v>https://github.com/arunpr614/Life-Reflection/blob/main/docs/council/UX-DESIGN-REVIEW.md</x:v>
      </x:c>
      <x:c r="X24" s="26" t="str">
        <x:v>https://github.com/arunpr614/Life-Reflection/blob/main/docs/architecture/PHASE1-IMPLEMENTATION-PLAN.md</x:v>
      </x:c>
      <x:c r="Y24" s="26" t="str">
        <x:v>Execute capture, invalid input/date, album, duplicate, cover, Original, AI-exclusion, media restore, and rollback fixtures.</x:v>
      </x:c>
      <x:c r="Z24" s="26" t="str">
        <x:v>Release acceptance for REL-R2-001 — Media Privacy/Restore Acceptance links independent QA, five-seat review, every task-specific dossier, backup/separate-path restore for each new shape, rollback, defect gate, and proceed/hold/rollback record; a human attestation is included only for a named non-delegable act.</x:v>
      </x:c>
      <x:c r="AA24" s="26" t="str">
        <x:v>Validates rollback and restore for every persistent shape introduced by the milestone; acceptance never substitutes a successful backup upload for restore evidence.</x:v>
      </x:c>
      <x:c r="AB24" s="26" t="str">
        <x:v>Move to Done only when the named task evidence exists; prototype or document intent cannot prove implementation or release completion.</x:v>
      </x:c>
      <x:c r="AC24" s="26" t="str">
        <x:v>https://github.com/arunpr614/Life-Reflection/issues/20</x:v>
      </x:c>
    </x:row>
    <x:row r="25" ht="90" customHeight="1">
      <x:c r="A25" s="26" t="str">
        <x:v>PRD-R3-001</x:v>
      </x:c>
      <x:c r="B25" s="26" t="str">
        <x:v>Retrieval &amp; Date Integrity PRD</x:v>
      </x:c>
      <x:c r="C25" s="26" t="str">
        <x:v>Done</x:v>
      </x:c>
      <x:c r="D25" s="26" t="str">
        <x:v>Incomplete</x:v>
      </x:c>
      <x:c r="E25" s="26" t="str">
        <x:v>No</x:v>
      </x:c>
      <x:c r="F25" s="26" t="str">
        <x:v>planning-only-historical</x:v>
      </x:c>
      <x:c r="G25" s="26" t="str">
        <x:v>R3</x:v>
      </x:c>
      <x:c r="H25" s="26" t="str">
        <x:v>Product definition</x:v>
      </x:c>
      <x:c r="I25" s="26" t="str">
        <x:v>Product Manager</x:v>
      </x:c>
      <x:c r="J25" s="26" t="str">
        <x:v>High</x:v>
      </x:c>
      <x:c r="K25" s="35" t="n">
        <x:v>46307</x:v>
      </x:c>
      <x:c r="L25" s="35" t="n">
        <x:v>46309</x:v>
      </x:c>
      <x:c r="M25" s="26" t="n">
        <x:f>IF(OR(K25="",L25=""),"",L25-K25+1)</x:f>
        <x:v>3</x:v>
      </x:c>
      <x:c r="N25" s="26" t="str">
        <x:v>LID-SRC-003, LID-REF-002, LID-REF-003, LID-REF-006, LID-OPS-011, LID-OPS-018</x:v>
      </x:c>
      <x:c r="O25" s="26" t="str">
        <x:v>PC-001</x:v>
      </x:c>
      <x:c r="P25" s="26" t="str">
        <x:v>https://github.com/arunpr614/Life-Reflection/blob/main/docs/product/releases/PRD-R3-RETRIEVAL-DATE-INTEGRITY.md</x:v>
      </x:c>
      <x:c r="Q25" s="26" t="str">
        <x:v>https://github.com/arunpr614/Life-Reflection/blob/main/docs/work-items/PRD-R3-001/P0-PRD-R3-001-PRD.md</x:v>
      </x:c>
      <x:c r="R25" s="26" t="str">
        <x:v>https://github.com/arunpr614/Life-Reflection/blob/main/docs/work-items/PRD-R3-001/P0-PRD-R3-001-TECHNICAL-PLAN.md</x:v>
      </x:c>
      <x:c r="S25" s="26" t="str">
        <x:v>https://github.com/arunpr614/Life-Reflection/blob/main/docs/work-items/PRD-R3-001/P0-PRD-R3-001-DESIGN-SPEC.md</x:v>
      </x:c>
      <x:c r="T25" s="26" t="str">
        <x:v>https://github.com/arunpr614/Life-Reflection/blob/main/docs/work-items/PRD-R3-001/P0-PRD-R3-001-QA-PLAN.md</x:v>
      </x:c>
      <x:c r="U25" s="26" t="str">
        <x:v>https://github.com/arunpr614/Life-Reflection/blob/main/docs/work-items/PRD-R3-001/P0-PRD-R3-001-DELIVERY-CHECKLIST.md</x:v>
      </x:c>
      <x:c r="V25" s="26" t="str">
        <x:v>https://github.com/arunpr614/Life-Reflection/blob/main/docs/work-items/PRD-R3-001/P0-PRD-R3-001-COUNCIL-READINESS.md</x:v>
      </x:c>
      <x:c r="W25" s="26" t="str">
        <x:v>https://github.com/arunpr614/Life-Reflection/blob/main/docs/council/UX-DESIGN-REVIEW.md</x:v>
      </x:c>
      <x:c r="X25" s="26" t="str">
        <x:v>https://github.com/arunpr614/Life-Reflection/blob/main/docs/architecture/PHASE1-IMPLEMENTATION-PLAN.md</x:v>
      </x:c>
      <x:c r="Y25" s="26" t="str">
        <x:v>Define the cross-month Monthly Almanac, exact retrieval, query privacy, Date Review, and atomic redating invariants.</x:v>
      </x:c>
      <x:c r="Z25" s="26" t="str">
        <x:v>Release document docs/product/releases/PRD-R3-RETRIEVAL-DATE-INTEGRITY.md exists, passes link/requirement validation, and separates council-delegated evidence gates from specifically named non-delegable human acts.</x:v>
      </x:c>
      <x:c r="AA25" s="26" t="str">
        <x:v>Planning evidence only; no production data mutation. Any later implementation still needs its own migration, restore, and rollback proof.</x:v>
      </x:c>
      <x:c r="AB25" s="26" t="str">
        <x:v>This planning artifact is complete; it does not claim feature implementation, deployment, production readiness, or release acceptance.</x:v>
      </x:c>
      <x:c r="AC25" s="26" t="str">
        <x:v>https://github.com/arunpr614/Life-Reflection/issues/21</x:v>
      </x:c>
    </x:row>
    <x:row r="26" ht="90" customHeight="1">
      <x:c r="A26" s="26" t="str">
        <x:v>UX-R3-001</x:v>
      </x:c>
      <x:c r="B26" s="26" t="str">
        <x:v>Almanac/Search/Date Review Designs</x:v>
      </x:c>
      <x:c r="C26" s="26" t="str">
        <x:v>Backlog</x:v>
      </x:c>
      <x:c r="D26" s="26" t="str">
        <x:v>Incomplete</x:v>
      </x:c>
      <x:c r="E26" s="26" t="str">
        <x:v>No</x:v>
      </x:c>
      <x:c r="F26" s="26" t="str">
        <x:v>future-release-gated</x:v>
      </x:c>
      <x:c r="G26" s="26" t="str">
        <x:v>R3</x:v>
      </x:c>
      <x:c r="H26" s="26" t="str">
        <x:v>Design</x:v>
      </x:c>
      <x:c r="I26" s="26" t="str">
        <x:v>UI/UX Designer</x:v>
      </x:c>
      <x:c r="J26" s="26" t="str">
        <x:v>High</x:v>
      </x:c>
      <x:c r="K26" s="35" t="n">
        <x:v>46307</x:v>
      </x:c>
      <x:c r="L26" s="35" t="n">
        <x:v>46311</x:v>
      </x:c>
      <x:c r="M26" s="26" t="n">
        <x:f>IF(OR(K26="",L26=""),"",L26-K26+1)</x:f>
        <x:v>5</x:v>
      </x:c>
      <x:c r="N26" s="26" t="str">
        <x:v>LID-SRC-003, LID-REF-002, LID-REF-003, LID-REF-006</x:v>
      </x:c>
      <x:c r="O26" s="26" t="str">
        <x:v>PRD-R3-001</x:v>
      </x:c>
      <x:c r="P26" s="26" t="str">
        <x:v>https://github.com/arunpr614/Life-Reflection/blob/main/docs/product/releases/PRD-R3-RETRIEVAL-DATE-INTEGRITY.md</x:v>
      </x:c>
      <x:c r="Q26" s="26" t="str">
        <x:v>https://github.com/arunpr614/Life-Reflection/blob/main/docs/work-items/UX-R3-001/P0-UX-R3-001-PRD.md</x:v>
      </x:c>
      <x:c r="R26" s="26" t="str">
        <x:v>https://github.com/arunpr614/Life-Reflection/blob/main/docs/work-items/UX-R3-001/P0-UX-R3-001-TECHNICAL-PLAN.md</x:v>
      </x:c>
      <x:c r="S26" s="26" t="str">
        <x:v>https://github.com/arunpr614/Life-Reflection/blob/main/docs/work-items/UX-R3-001/P0-UX-R3-001-DESIGN-SPEC.md</x:v>
      </x:c>
      <x:c r="T26" s="26" t="str">
        <x:v>https://github.com/arunpr614/Life-Reflection/blob/main/docs/work-items/UX-R3-001/P0-UX-R3-001-QA-PLAN.md</x:v>
      </x:c>
      <x:c r="U26" s="26" t="str">
        <x:v>https://github.com/arunpr614/Life-Reflection/blob/main/docs/work-items/UX-R3-001/P0-UX-R3-001-DELIVERY-CHECKLIST.md</x:v>
      </x:c>
      <x:c r="V26" s="26" t="str">
        <x:v>https://github.com/arunpr614/Life-Reflection/blob/main/docs/work-items/UX-R3-001/P0-UX-R3-001-COUNCIL-READINESS.md</x:v>
      </x:c>
      <x:c r="W26" s="26" t="str">
        <x:v>https://github.com/arunpr614/Life-Reflection/blob/main/docs/council/UX-DESIGN-REVIEW.md</x:v>
      </x:c>
      <x:c r="X26" s="26" t="str">
        <x:v>https://github.com/arunpr614/Life-Reflection/blob/main/docs/architecture/PHASE1-IMPLEMENTATION-PLAN.md</x:v>
      </x:c>
      <x:c r="Y26" s="26" t="str">
        <x:v>Design the Monthly Almanac, search scope/results/history, Date Review, redating preview, interruption, and failure states.</x:v>
      </x:c>
      <x:c r="Z26" s="26" t="str">
        <x:v>Approved task-specific design for UX-R3-001 — Almanac/Search/Date Review Designs links complete normal/empty/loading/error/interruption/destructive states, responsive behavior, accessibility annotations, prototype dispositions, and Designer sign-off.</x:v>
      </x:c>
      <x:c r="AA26" s="26" t="str">
        <x:v>Planning evidence only; no production data mutation. Any later implementation still needs its own migration, restore, and rollback proof.</x:v>
      </x:c>
      <x:c r="AB26" s="26" t="str">
        <x:v>Move to Done only when the named task evidence exists; prototype or document intent cannot prove implementation or release completion.</x:v>
      </x:c>
      <x:c r="AC26" s="26" t="str">
        <x:v>https://github.com/arunpr614/Life-Reflection/issues/22</x:v>
      </x:c>
    </x:row>
    <x:row r="27" ht="90" customHeight="1">
      <x:c r="A27" s="26" t="str">
        <x:v>ARCH-R3-001</x:v>
      </x:c>
      <x:c r="B27" s="26" t="str">
        <x:v>Search Index &amp; Redating Transaction</x:v>
      </x:c>
      <x:c r="C27" s="26" t="str">
        <x:v>Backlog</x:v>
      </x:c>
      <x:c r="D27" s="26" t="str">
        <x:v>Incomplete</x:v>
      </x:c>
      <x:c r="E27" s="26" t="str">
        <x:v>No</x:v>
      </x:c>
      <x:c r="F27" s="26" t="str">
        <x:v>future-release-gated</x:v>
      </x:c>
      <x:c r="G27" s="26" t="str">
        <x:v>R3</x:v>
      </x:c>
      <x:c r="H27" s="26" t="str">
        <x:v>Architecture</x:v>
      </x:c>
      <x:c r="I27" s="26" t="str">
        <x:v>Technical Architect</x:v>
      </x:c>
      <x:c r="J27" s="26" t="str">
        <x:v>High</x:v>
      </x:c>
      <x:c r="K27" s="35" t="n">
        <x:v>46307</x:v>
      </x:c>
      <x:c r="L27" s="35" t="n">
        <x:v>46311</x:v>
      </x:c>
      <x:c r="M27" s="26" t="n">
        <x:f>IF(OR(K27="",L27=""),"",L27-K27+1)</x:f>
        <x:v>5</x:v>
      </x:c>
      <x:c r="N27" s="26" t="str">
        <x:v>LID-SRC-003, LID-REF-002, LID-REF-003, LID-REF-006, LID-OPS-011, LID-OPS-018</x:v>
      </x:c>
      <x:c r="O27" s="26" t="str">
        <x:v>PRD-R3-001, REL-R2-001</x:v>
      </x:c>
      <x:c r="P27" s="26" t="str">
        <x:v>https://github.com/arunpr614/Life-Reflection/blob/main/docs/product/releases/PRD-R3-RETRIEVAL-DATE-INTEGRITY.md</x:v>
      </x:c>
      <x:c r="Q27" s="26" t="str">
        <x:v>https://github.com/arunpr614/Life-Reflection/blob/main/docs/work-items/ARCH-R3-001/P0-ARCH-R3-001-PRD.md</x:v>
      </x:c>
      <x:c r="R27" s="26" t="str">
        <x:v>https://github.com/arunpr614/Life-Reflection/blob/main/docs/work-items/ARCH-R3-001/P0-ARCH-R3-001-TECHNICAL-PLAN.md</x:v>
      </x:c>
      <x:c r="S27" s="26" t="str">
        <x:v>https://github.com/arunpr614/Life-Reflection/blob/main/docs/work-items/ARCH-R3-001/P0-ARCH-R3-001-DESIGN-SPEC.md</x:v>
      </x:c>
      <x:c r="T27" s="26" t="str">
        <x:v>https://github.com/arunpr614/Life-Reflection/blob/main/docs/work-items/ARCH-R3-001/P0-ARCH-R3-001-QA-PLAN.md</x:v>
      </x:c>
      <x:c r="U27" s="26" t="str">
        <x:v>https://github.com/arunpr614/Life-Reflection/blob/main/docs/work-items/ARCH-R3-001/P0-ARCH-R3-001-DELIVERY-CHECKLIST.md</x:v>
      </x:c>
      <x:c r="V27" s="26" t="str">
        <x:v>https://github.com/arunpr614/Life-Reflection/blob/main/docs/work-items/ARCH-R3-001/P0-ARCH-R3-001-COUNCIL-READINESS.md</x:v>
      </x:c>
      <x:c r="W27" s="26" t="str">
        <x:v>https://github.com/arunpr614/Life-Reflection/blob/main/docs/council/UX-DESIGN-REVIEW.md</x:v>
      </x:c>
      <x:c r="X27" s="26" t="str">
        <x:v>https://github.com/arunpr614/Life-Reflection/blob/main/docs/architecture/PHASE1-IMPLEMENTATION-PLAN.md</x:v>
      </x:c>
      <x:c r="Y27" s="26" t="str">
        <x:v>Define encrypted lexical indexes, query/log privacy, date-review storage, and one-transaction old/new-day redating.</x:v>
      </x:c>
      <x:c r="Z27" s="26" t="str">
        <x:v>Approved task-specific technical plan for ARCH-R3-001 — Search Index &amp; Redating Transaction links owned modules, ADRs, threats/data flows, interfaces/data shapes, capacity, migration, restore, rollback, and Architect sign-off.</x:v>
      </x:c>
      <x:c r="AA27" s="26" t="str">
        <x:v>No personal-data mutation is authorized by this task; it must define or prove reversible deployment and recovery before dependent implementation.</x:v>
      </x:c>
      <x:c r="AB27" s="26" t="str">
        <x:v>Move to Done only when the named task evidence exists; prototype or document intent cannot prove implementation or release completion.</x:v>
      </x:c>
      <x:c r="AC27" s="26" t="str">
        <x:v>https://github.com/arunpr614/Life-Reflection/issues/23</x:v>
      </x:c>
    </x:row>
    <x:row r="28" ht="90" customHeight="1">
      <x:c r="A28" s="26" t="str">
        <x:v>ENG-R3-001</x:v>
      </x:c>
      <x:c r="B28" s="26" t="str">
        <x:v>Almanac/Search/Date Review/Redating</x:v>
      </x:c>
      <x:c r="C28" s="26" t="str">
        <x:v>Backlog</x:v>
      </x:c>
      <x:c r="D28" s="26" t="str">
        <x:v>Incomplete</x:v>
      </x:c>
      <x:c r="E28" s="26" t="str">
        <x:v>No</x:v>
      </x:c>
      <x:c r="F28" s="26" t="str">
        <x:v>future-release-gated</x:v>
      </x:c>
      <x:c r="G28" s="26" t="str">
        <x:v>R3</x:v>
      </x:c>
      <x:c r="H28" s="26" t="str">
        <x:v>Implementation</x:v>
      </x:c>
      <x:c r="I28" s="26" t="str">
        <x:v>Engineering</x:v>
      </x:c>
      <x:c r="J28" s="26" t="str">
        <x:v>High</x:v>
      </x:c>
      <x:c r="K28" s="35" t="n">
        <x:v>46310</x:v>
      </x:c>
      <x:c r="L28" s="35" t="n">
        <x:v>46323</x:v>
      </x:c>
      <x:c r="M28" s="26" t="n">
        <x:f>IF(OR(K28="",L28=""),"",L28-K28+1)</x:f>
        <x:v>14</x:v>
      </x:c>
      <x:c r="N28" s="26" t="str">
        <x:v>LID-SRC-003, LID-REF-002, LID-REF-003, LID-REF-006, LID-OPS-011, LID-OPS-018</x:v>
      </x:c>
      <x:c r="O28" s="26" t="str">
        <x:v>UX-R3-001, ARCH-R3-001, REL-R2-001</x:v>
      </x:c>
      <x:c r="P28" s="26" t="str">
        <x:v>https://github.com/arunpr614/Life-Reflection/blob/main/docs/product/releases/PRD-R3-RETRIEVAL-DATE-INTEGRITY.md</x:v>
      </x:c>
      <x:c r="Q28" s="26" t="str">
        <x:v>https://github.com/arunpr614/Life-Reflection/blob/main/docs/work-items/ENG-R3-001/P0-ENG-R3-001-PRD.md</x:v>
      </x:c>
      <x:c r="R28" s="26" t="str">
        <x:v>https://github.com/arunpr614/Life-Reflection/blob/main/docs/work-items/ENG-R3-001/P0-ENG-R3-001-TECHNICAL-PLAN.md</x:v>
      </x:c>
      <x:c r="S28" s="26" t="str">
        <x:v>https://github.com/arunpr614/Life-Reflection/blob/main/docs/work-items/ENG-R3-001/P0-ENG-R3-001-DESIGN-SPEC.md</x:v>
      </x:c>
      <x:c r="T28" s="26" t="str">
        <x:v>https://github.com/arunpr614/Life-Reflection/blob/main/docs/work-items/ENG-R3-001/P0-ENG-R3-001-QA-PLAN.md</x:v>
      </x:c>
      <x:c r="U28" s="26" t="str">
        <x:v>https://github.com/arunpr614/Life-Reflection/blob/main/docs/work-items/ENG-R3-001/P0-ENG-R3-001-DELIVERY-CHECKLIST.md</x:v>
      </x:c>
      <x:c r="V28" s="26" t="str">
        <x:v>https://github.com/arunpr614/Life-Reflection/blob/main/docs/work-items/ENG-R3-001/P0-ENG-R3-001-COUNCIL-READINESS.md</x:v>
      </x:c>
      <x:c r="W28" s="26" t="str">
        <x:v>https://github.com/arunpr614/Life-Reflection/blob/main/docs/council/UX-DESIGN-REVIEW.md</x:v>
      </x:c>
      <x:c r="X28" s="26" t="str">
        <x:v>https://github.com/arunpr614/Life-Reflection/blob/main/docs/architecture/PHASE1-IMPLEMENTATION-PLAN.md</x:v>
      </x:c>
      <x:c r="Y28" s="26" t="str">
        <x:v>Implement cross-month Almanac browsing, deterministic lexical/date/tag/caption retrieval, review resolution, and atomic redating.</x:v>
      </x:c>
      <x:c r="Z28" s="26" t="str">
        <x:v>Merged implementation for ENG-R3-001 — Almanac/Search/Date Review/Redating proves “Implement cross-month Almanac browsing, deterministic lexical/date/tag/caption retrieval, review resolution, and atomic redating.” with task-specific tests, immutable build/SBOM, migrations, sanitized deployment evidence when authorized, separate-path restore, rollback, and no-regression results.</x:v>
      </x:c>
      <x:c r="AA28" s="26" t="str">
        <x:v>Adds search index, date-review, and atomic redating state; migration must be reversible and backup/restore coverage must pass before release acceptance.</x:v>
      </x:c>
      <x:c r="AB28" s="26" t="str">
        <x:v>Move to Done only when the named task evidence exists; prototype or document intent cannot prove implementation or release completion.</x:v>
      </x:c>
      <x:c r="AC28" s="26" t="str">
        <x:v>https://github.com/arunpr614/Life-Reflection/issues/24</x:v>
      </x:c>
    </x:row>
    <x:row r="29" ht="90" customHeight="1">
      <x:c r="A29" s="26" t="str">
        <x:v>REL-R3-001</x:v>
      </x:c>
      <x:c r="B29" s="26" t="str">
        <x:v>Query Privacy &amp; Date Atomicity Acceptance</x:v>
      </x:c>
      <x:c r="C29" s="26" t="str">
        <x:v>Backlog</x:v>
      </x:c>
      <x:c r="D29" s="26" t="str">
        <x:v>Incomplete</x:v>
      </x:c>
      <x:c r="E29" s="26" t="str">
        <x:v>No</x:v>
      </x:c>
      <x:c r="F29" s="26" t="str">
        <x:v>future-release-gated</x:v>
      </x:c>
      <x:c r="G29" s="26" t="str">
        <x:v>R3</x:v>
      </x:c>
      <x:c r="H29" s="26" t="str">
        <x:v>Release acceptance</x:v>
      </x:c>
      <x:c r="I29" s="26" t="str">
        <x:v>Project Manager + Independent QA</x:v>
      </x:c>
      <x:c r="J29" s="26" t="str">
        <x:v>High</x:v>
      </x:c>
      <x:c r="K29" s="35" t="n">
        <x:v>46324</x:v>
      </x:c>
      <x:c r="L29" s="35" t="n">
        <x:v>46325</x:v>
      </x:c>
      <x:c r="M29" s="26" t="n">
        <x:f>IF(OR(K29="",L29=""),"",L29-K29+1)</x:f>
        <x:v>2</x:v>
      </x:c>
      <x:c r="N29" s="26" t="str">
        <x:v>LID-SRC-003, LID-REF-002, LID-REF-003, LID-REF-006, LID-OPS-011, LID-OPS-018</x:v>
      </x:c>
      <x:c r="O29" s="26" t="str">
        <x:v>ENG-R3-001</x:v>
      </x:c>
      <x:c r="P29" s="26" t="str">
        <x:v>https://github.com/arunpr614/Life-Reflection/blob/main/docs/product/releases/PRD-R3-RETRIEVAL-DATE-INTEGRITY.md</x:v>
      </x:c>
      <x:c r="Q29" s="26" t="str">
        <x:v>https://github.com/arunpr614/Life-Reflection/blob/main/docs/work-items/REL-R3-001/P0-REL-R3-001-PRD.md</x:v>
      </x:c>
      <x:c r="R29" s="26" t="str">
        <x:v>https://github.com/arunpr614/Life-Reflection/blob/main/docs/work-items/REL-R3-001/P0-REL-R3-001-TECHNICAL-PLAN.md</x:v>
      </x:c>
      <x:c r="S29" s="26" t="str">
        <x:v>https://github.com/arunpr614/Life-Reflection/blob/main/docs/work-items/REL-R3-001/P0-REL-R3-001-DESIGN-SPEC.md</x:v>
      </x:c>
      <x:c r="T29" s="26" t="str">
        <x:v>https://github.com/arunpr614/Life-Reflection/blob/main/docs/work-items/REL-R3-001/P0-REL-R3-001-QA-PLAN.md</x:v>
      </x:c>
      <x:c r="U29" s="26" t="str">
        <x:v>https://github.com/arunpr614/Life-Reflection/blob/main/docs/work-items/REL-R3-001/P0-REL-R3-001-DELIVERY-CHECKLIST.md</x:v>
      </x:c>
      <x:c r="V29" s="26" t="str">
        <x:v>https://github.com/arunpr614/Life-Reflection/blob/main/docs/work-items/REL-R3-001/P0-REL-R3-001-COUNCIL-READINESS.md</x:v>
      </x:c>
      <x:c r="W29" s="26" t="str">
        <x:v>https://github.com/arunpr614/Life-Reflection/blob/main/docs/council/UX-DESIGN-REVIEW.md</x:v>
      </x:c>
      <x:c r="X29" s="26" t="str">
        <x:v>https://github.com/arunpr614/Life-Reflection/blob/main/docs/architecture/PHASE1-IMPLEMENTATION-PLAN.md</x:v>
      </x:c>
      <x:c r="Y29" s="26" t="str">
        <x:v>Verify exact results, opt-in history, zero query leakage, two-day atomicity, index recovery, restore, and rollback.</x:v>
      </x:c>
      <x:c r="Z29" s="26" t="str">
        <x:v>Release acceptance for REL-R3-001 — Query Privacy &amp; Date Atomicity Acceptance links independent QA, five-seat review, every task-specific dossier, backup/separate-path restore for each new shape, rollback, defect gate, and proceed/hold/rollback record; a human attestation is included only for a named non-delegable act.</x:v>
      </x:c>
      <x:c r="AA29" s="26" t="str">
        <x:v>Validates rollback and restore for every persistent shape introduced by the milestone; acceptance never substitutes a successful backup upload for restore evidence.</x:v>
      </x:c>
      <x:c r="AB29" s="26" t="str">
        <x:v>Move to Done only when the named task evidence exists; prototype or document intent cannot prove implementation or release completion.</x:v>
      </x:c>
      <x:c r="AC29" s="26" t="str">
        <x:v>https://github.com/arunpr614/Life-Reflection/issues/25</x:v>
      </x:c>
    </x:row>
    <x:row r="30" ht="90" customHeight="1">
      <x:c r="A30" s="26" t="str">
        <x:v>PRD-R4-001</x:v>
      </x:c>
      <x:c r="B30" s="26" t="str">
        <x:v>Lifecycle PRD</x:v>
      </x:c>
      <x:c r="C30" s="26" t="str">
        <x:v>Done</x:v>
      </x:c>
      <x:c r="D30" s="26" t="str">
        <x:v>Incomplete</x:v>
      </x:c>
      <x:c r="E30" s="26" t="str">
        <x:v>No</x:v>
      </x:c>
      <x:c r="F30" s="26" t="str">
        <x:v>planning-only-historical</x:v>
      </x:c>
      <x:c r="G30" s="26" t="str">
        <x:v>R4</x:v>
      </x:c>
      <x:c r="H30" s="26" t="str">
        <x:v>Product definition</x:v>
      </x:c>
      <x:c r="I30" s="26" t="str">
        <x:v>Product Manager</x:v>
      </x:c>
      <x:c r="J30" s="26" t="str">
        <x:v>High</x:v>
      </x:c>
      <x:c r="K30" s="35" t="n">
        <x:v>46328</x:v>
      </x:c>
      <x:c r="L30" s="35" t="n">
        <x:v>46330</x:v>
      </x:c>
      <x:c r="M30" s="26" t="n">
        <x:f>IF(OR(K30="",L30=""),"",L30-K30+1)</x:f>
        <x:v>3</x:v>
      </x:c>
      <x:c r="N30" s="26" t="str">
        <x:v>LID-SCP-004, LID-SRC-001, LID-SRC-002, LID-SRC-004, LID-REF-007, LID-OPS-010, LID-OPS-011, LID-OPS-013, LID-OPS-018</x:v>
      </x:c>
      <x:c r="O30" s="26" t="str">
        <x:v>PC-001</x:v>
      </x:c>
      <x:c r="P30" s="26" t="str">
        <x:v>https://github.com/arunpr614/Life-Reflection/blob/main/docs/product/releases/PRD-R4-SOURCE-HISTORY-LIFECYCLE.md</x:v>
      </x:c>
      <x:c r="Q30" s="26" t="str">
        <x:v>https://github.com/arunpr614/Life-Reflection/blob/main/docs/work-items/PRD-R4-001/P0-PRD-R4-001-PRD.md</x:v>
      </x:c>
      <x:c r="R30" s="26" t="str">
        <x:v>https://github.com/arunpr614/Life-Reflection/blob/main/docs/work-items/PRD-R4-001/P0-PRD-R4-001-TECHNICAL-PLAN.md</x:v>
      </x:c>
      <x:c r="S30" s="26" t="str">
        <x:v>https://github.com/arunpr614/Life-Reflection/blob/main/docs/work-items/PRD-R4-001/P0-PRD-R4-001-DESIGN-SPEC.md</x:v>
      </x:c>
      <x:c r="T30" s="26" t="str">
        <x:v>https://github.com/arunpr614/Life-Reflection/blob/main/docs/work-items/PRD-R4-001/P0-PRD-R4-001-QA-PLAN.md</x:v>
      </x:c>
      <x:c r="U30" s="26" t="str">
        <x:v>https://github.com/arunpr614/Life-Reflection/blob/main/docs/work-items/PRD-R4-001/P0-PRD-R4-001-DELIVERY-CHECKLIST.md</x:v>
      </x:c>
      <x:c r="V30" s="26" t="str">
        <x:v>https://github.com/arunpr614/Life-Reflection/blob/main/docs/work-items/PRD-R4-001/P0-PRD-R4-001-COUNCIL-READINESS.md</x:v>
      </x:c>
      <x:c r="W30" s="26" t="str">
        <x:v>https://github.com/arunpr614/Life-Reflection/blob/main/docs/council/UX-DESIGN-REVIEW.md</x:v>
      </x:c>
      <x:c r="X30" s="26" t="str">
        <x:v>https://github.com/arunpr614/Life-Reflection/blob/main/docs/architecture/PHASE1-IMPLEMENTATION-PLAN.md</x:v>
      </x:c>
      <x:c r="Y30" s="26" t="str">
        <x:v>Define Corrections, conflict choices, source binding, History, Trash, suppressions, confirmations, and complete export.</x:v>
      </x:c>
      <x:c r="Z30" s="26" t="str">
        <x:v>Release document docs/product/releases/PRD-R4-SOURCE-HISTORY-LIFECYCLE.md exists, passes link/requirement validation, and separates council-delegated evidence gates from specifically named non-delegable human acts.</x:v>
      </x:c>
      <x:c r="AA30" s="26" t="str">
        <x:v>Planning evidence only; no production data mutation. Any later implementation still needs its own migration, restore, and rollback proof.</x:v>
      </x:c>
      <x:c r="AB30" s="26" t="str">
        <x:v>This planning artifact is complete; it does not claim feature implementation, deployment, production readiness, or release acceptance.</x:v>
      </x:c>
      <x:c r="AC30" s="26" t="str">
        <x:v>https://github.com/arunpr614/Life-Reflection/issues/26</x:v>
      </x:c>
    </x:row>
    <x:row r="31" ht="90" customHeight="1">
      <x:c r="A31" s="26" t="str">
        <x:v>UX-R4-001</x:v>
      </x:c>
      <x:c r="B31" s="26" t="str">
        <x:v>Diff/History/Trash/Export Designs</x:v>
      </x:c>
      <x:c r="C31" s="26" t="str">
        <x:v>Backlog</x:v>
      </x:c>
      <x:c r="D31" s="26" t="str">
        <x:v>Incomplete</x:v>
      </x:c>
      <x:c r="E31" s="26" t="str">
        <x:v>No</x:v>
      </x:c>
      <x:c r="F31" s="26" t="str">
        <x:v>future-release-gated</x:v>
      </x:c>
      <x:c r="G31" s="26" t="str">
        <x:v>R4</x:v>
      </x:c>
      <x:c r="H31" s="26" t="str">
        <x:v>Design</x:v>
      </x:c>
      <x:c r="I31" s="26" t="str">
        <x:v>UI/UX Designer</x:v>
      </x:c>
      <x:c r="J31" s="26" t="str">
        <x:v>High</x:v>
      </x:c>
      <x:c r="K31" s="35" t="n">
        <x:v>46328</x:v>
      </x:c>
      <x:c r="L31" s="35" t="n">
        <x:v>46332</x:v>
      </x:c>
      <x:c r="M31" s="26" t="n">
        <x:f>IF(OR(K31="",L31=""),"",L31-K31+1)</x:f>
        <x:v>5</x:v>
      </x:c>
      <x:c r="N31" s="26" t="str">
        <x:v>LID-SCP-004, LID-SRC-001, LID-SRC-002, LID-SRC-004, LID-REF-007, LID-OPS-010, LID-OPS-013</x:v>
      </x:c>
      <x:c r="O31" s="26" t="str">
        <x:v>PRD-R4-001</x:v>
      </x:c>
      <x:c r="P31" s="26" t="str">
        <x:v>https://github.com/arunpr614/Life-Reflection/blob/main/docs/product/releases/PRD-R4-SOURCE-HISTORY-LIFECYCLE.md</x:v>
      </x:c>
      <x:c r="Q31" s="26" t="str">
        <x:v>https://github.com/arunpr614/Life-Reflection/blob/main/docs/work-items/UX-R4-001/P0-UX-R4-001-PRD.md</x:v>
      </x:c>
      <x:c r="R31" s="26" t="str">
        <x:v>https://github.com/arunpr614/Life-Reflection/blob/main/docs/work-items/UX-R4-001/P0-UX-R4-001-TECHNICAL-PLAN.md</x:v>
      </x:c>
      <x:c r="S31" s="26" t="str">
        <x:v>https://github.com/arunpr614/Life-Reflection/blob/main/docs/work-items/UX-R4-001/P0-UX-R4-001-DESIGN-SPEC.md</x:v>
      </x:c>
      <x:c r="T31" s="26" t="str">
        <x:v>https://github.com/arunpr614/Life-Reflection/blob/main/docs/work-items/UX-R4-001/P0-UX-R4-001-QA-PLAN.md</x:v>
      </x:c>
      <x:c r="U31" s="26" t="str">
        <x:v>https://github.com/arunpr614/Life-Reflection/blob/main/docs/work-items/UX-R4-001/P0-UX-R4-001-DELIVERY-CHECKLIST.md</x:v>
      </x:c>
      <x:c r="V31" s="26" t="str">
        <x:v>https://github.com/arunpr614/Life-Reflection/blob/main/docs/work-items/UX-R4-001/P0-UX-R4-001-COUNCIL-READINESS.md</x:v>
      </x:c>
      <x:c r="W31" s="26" t="str">
        <x:v>https://github.com/arunpr614/Life-Reflection/blob/main/docs/council/UX-DESIGN-REVIEW.md</x:v>
      </x:c>
      <x:c r="X31" s="26" t="str">
        <x:v>https://github.com/arunpr614/Life-Reflection/blob/main/docs/architecture/PHASE1-IMPLEMENTATION-PLAN.md</x:v>
      </x:c>
      <x:c r="Y31" s="26" t="str">
        <x:v>Design accessible diff, Correction, History, Trash, suppression, confirmation, and encrypted-export workflows.</x:v>
      </x:c>
      <x:c r="Z31" s="26" t="str">
        <x:v>Approved task-specific design for UX-R4-001 — Diff/History/Trash/Export Designs links complete normal/empty/loading/error/interruption/destructive states, responsive behavior, accessibility annotations, prototype dispositions, and Designer sign-off.</x:v>
      </x:c>
      <x:c r="AA31" s="26" t="str">
        <x:v>Planning evidence only; no production data mutation. Any later implementation still needs its own migration, restore, and rollback proof.</x:v>
      </x:c>
      <x:c r="AB31" s="26" t="str">
        <x:v>Move to Done only when the named task evidence exists; prototype or document intent cannot prove implementation or release completion.</x:v>
      </x:c>
      <x:c r="AC31" s="26" t="str">
        <x:v>https://github.com/arunpr614/Life-Reflection/issues/27</x:v>
      </x:c>
    </x:row>
    <x:row r="32" ht="90" customHeight="1">
      <x:c r="A32" s="26" t="str">
        <x:v>ARCH-R4-001</x:v>
      </x:c>
      <x:c r="B32" s="26" t="str">
        <x:v>Revision/Suppression/Export Lifecycle</x:v>
      </x:c>
      <x:c r="C32" s="26" t="str">
        <x:v>Backlog</x:v>
      </x:c>
      <x:c r="D32" s="26" t="str">
        <x:v>Incomplete</x:v>
      </x:c>
      <x:c r="E32" s="26" t="str">
        <x:v>No</x:v>
      </x:c>
      <x:c r="F32" s="26" t="str">
        <x:v>future-release-gated</x:v>
      </x:c>
      <x:c r="G32" s="26" t="str">
        <x:v>R4</x:v>
      </x:c>
      <x:c r="H32" s="26" t="str">
        <x:v>Architecture</x:v>
      </x:c>
      <x:c r="I32" s="26" t="str">
        <x:v>Technical Architect</x:v>
      </x:c>
      <x:c r="J32" s="26" t="str">
        <x:v>High</x:v>
      </x:c>
      <x:c r="K32" s="35" t="n">
        <x:v>46328</x:v>
      </x:c>
      <x:c r="L32" s="35" t="n">
        <x:v>46332</x:v>
      </x:c>
      <x:c r="M32" s="26" t="n">
        <x:f>IF(OR(K32="",L32=""),"",L32-K32+1)</x:f>
        <x:v>5</x:v>
      </x:c>
      <x:c r="N32" s="26" t="str">
        <x:v>LID-SCP-004, LID-SRC-001, LID-SRC-002, LID-SRC-004, LID-REF-007, LID-OPS-010, LID-OPS-011, LID-OPS-013, LID-OPS-018</x:v>
      </x:c>
      <x:c r="O32" s="26" t="str">
        <x:v>PRD-R4-001, REL-R3-001</x:v>
      </x:c>
      <x:c r="P32" s="26" t="str">
        <x:v>https://github.com/arunpr614/Life-Reflection/blob/main/docs/product/releases/PRD-R4-SOURCE-HISTORY-LIFECYCLE.md</x:v>
      </x:c>
      <x:c r="Q32" s="26" t="str">
        <x:v>https://github.com/arunpr614/Life-Reflection/blob/main/docs/work-items/ARCH-R4-001/P0-ARCH-R4-001-PRD.md</x:v>
      </x:c>
      <x:c r="R32" s="26" t="str">
        <x:v>https://github.com/arunpr614/Life-Reflection/blob/main/docs/work-items/ARCH-R4-001/P0-ARCH-R4-001-TECHNICAL-PLAN.md</x:v>
      </x:c>
      <x:c r="S32" s="26" t="str">
        <x:v>https://github.com/arunpr614/Life-Reflection/blob/main/docs/work-items/ARCH-R4-001/P0-ARCH-R4-001-DESIGN-SPEC.md</x:v>
      </x:c>
      <x:c r="T32" s="26" t="str">
        <x:v>https://github.com/arunpr614/Life-Reflection/blob/main/docs/work-items/ARCH-R4-001/P0-ARCH-R4-001-QA-PLAN.md</x:v>
      </x:c>
      <x:c r="U32" s="26" t="str">
        <x:v>https://github.com/arunpr614/Life-Reflection/blob/main/docs/work-items/ARCH-R4-001/P0-ARCH-R4-001-DELIVERY-CHECKLIST.md</x:v>
      </x:c>
      <x:c r="V32" s="26" t="str">
        <x:v>https://github.com/arunpr614/Life-Reflection/blob/main/docs/work-items/ARCH-R4-001/P0-ARCH-R4-001-COUNCIL-READINESS.md</x:v>
      </x:c>
      <x:c r="W32" s="26" t="str">
        <x:v>https://github.com/arunpr614/Life-Reflection/blob/main/docs/council/UX-DESIGN-REVIEW.md</x:v>
      </x:c>
      <x:c r="X32" s="26" t="str">
        <x:v>https://github.com/arunpr614/Life-Reflection/blob/main/docs/architecture/PHASE1-IMPLEMENTATION-PLAN.md</x:v>
      </x:c>
      <x:c r="Y32" s="26" t="str">
        <x:v>Define immutable revisions/Corrections, active display binding, Trash/suppression state machine, passphrase handoff, export cleanup, and restore.</x:v>
      </x:c>
      <x:c r="Z32" s="26" t="str">
        <x:v>Approved task-specific technical plan for ARCH-R4-001 — Revision/Suppression/Export Lifecycle links owned modules, ADRs, threats/data flows, interfaces/data shapes, capacity, migration, restore, rollback, and Architect sign-off.</x:v>
      </x:c>
      <x:c r="AA32" s="26" t="str">
        <x:v>No personal-data mutation is authorized by this task; it must define or prove reversible deployment and recovery before dependent implementation.</x:v>
      </x:c>
      <x:c r="AB32" s="26" t="str">
        <x:v>Move to Done only when the named task evidence exists; prototype or document intent cannot prove implementation or release completion.</x:v>
      </x:c>
      <x:c r="AC32" s="26" t="str">
        <x:v>https://github.com/arunpr614/Life-Reflection/issues/28</x:v>
      </x:c>
    </x:row>
    <x:row r="33" ht="90" customHeight="1">
      <x:c r="A33" s="26" t="str">
        <x:v>ENG-R4-001</x:v>
      </x:c>
      <x:c r="B33" s="26" t="str">
        <x:v>Corrections/Conflict/History</x:v>
      </x:c>
      <x:c r="C33" s="26" t="str">
        <x:v>Backlog</x:v>
      </x:c>
      <x:c r="D33" s="26" t="str">
        <x:v>Incomplete</x:v>
      </x:c>
      <x:c r="E33" s="26" t="str">
        <x:v>No</x:v>
      </x:c>
      <x:c r="F33" s="26" t="str">
        <x:v>future-release-gated</x:v>
      </x:c>
      <x:c r="G33" s="26" t="str">
        <x:v>R4</x:v>
      </x:c>
      <x:c r="H33" s="26" t="str">
        <x:v>Implementation</x:v>
      </x:c>
      <x:c r="I33" s="26" t="str">
        <x:v>Engineering</x:v>
      </x:c>
      <x:c r="J33" s="26" t="str">
        <x:v>High</x:v>
      </x:c>
      <x:c r="K33" s="35" t="n">
        <x:v>46331</x:v>
      </x:c>
      <x:c r="L33" s="35" t="n">
        <x:v>46339</x:v>
      </x:c>
      <x:c r="M33" s="26" t="n">
        <x:f>IF(OR(K33="",L33=""),"",L33-K33+1)</x:f>
        <x:v>9</x:v>
      </x:c>
      <x:c r="N33" s="26" t="str">
        <x:v>LID-SCP-004, LID-SRC-001, LID-SRC-002, LID-SRC-004, LID-REF-007, LID-OPS-011, LID-OPS-018</x:v>
      </x:c>
      <x:c r="O33" s="26" t="str">
        <x:v>UX-R4-001, ARCH-R4-001, REL-R3-001</x:v>
      </x:c>
      <x:c r="P33" s="26" t="str">
        <x:v>https://github.com/arunpr614/Life-Reflection/blob/main/docs/product/releases/PRD-R4-SOURCE-HISTORY-LIFECYCLE.md</x:v>
      </x:c>
      <x:c r="Q33" s="26" t="str">
        <x:v>https://github.com/arunpr614/Life-Reflection/blob/main/docs/work-items/ENG-R4-001/P0-ENG-R4-001-PRD.md</x:v>
      </x:c>
      <x:c r="R33" s="26" t="str">
        <x:v>https://github.com/arunpr614/Life-Reflection/blob/main/docs/work-items/ENG-R4-001/P0-ENG-R4-001-TECHNICAL-PLAN.md</x:v>
      </x:c>
      <x:c r="S33" s="26" t="str">
        <x:v>https://github.com/arunpr614/Life-Reflection/blob/main/docs/work-items/ENG-R4-001/P0-ENG-R4-001-DESIGN-SPEC.md</x:v>
      </x:c>
      <x:c r="T33" s="26" t="str">
        <x:v>https://github.com/arunpr614/Life-Reflection/blob/main/docs/work-items/ENG-R4-001/P0-ENG-R4-001-QA-PLAN.md</x:v>
      </x:c>
      <x:c r="U33" s="26" t="str">
        <x:v>https://github.com/arunpr614/Life-Reflection/blob/main/docs/work-items/ENG-R4-001/P0-ENG-R4-001-DELIVERY-CHECKLIST.md</x:v>
      </x:c>
      <x:c r="V33" s="26" t="str">
        <x:v>https://github.com/arunpr614/Life-Reflection/blob/main/docs/work-items/ENG-R4-001/P0-ENG-R4-001-COUNCIL-READINESS.md</x:v>
      </x:c>
      <x:c r="W33" s="26" t="str">
        <x:v>https://github.com/arunpr614/Life-Reflection/blob/main/docs/council/UX-DESIGN-REVIEW.md</x:v>
      </x:c>
      <x:c r="X33" s="26" t="str">
        <x:v>https://github.com/arunpr614/Life-Reflection/blob/main/docs/architecture/PHASE1-IMPLEMENTATION-PLAN.md</x:v>
      </x:c>
      <x:c r="Y33" s="26" t="str">
        <x:v>Implement immutable Corrections, retained revisions, exactly three conflict outcomes, exact source-set binding, and inspectable History.</x:v>
      </x:c>
      <x:c r="Z33" s="26" t="str">
        <x:v>Merged implementation for ENG-R4-001 — Corrections/Conflict/History proves “Implement immutable Corrections, retained revisions, exactly three conflict outcomes, exact source-set binding, and inspectable History.” with task-specific tests, immutable build/SBOM, migrations, sanitized deployment evidence when authorized, separate-path restore, rollback, and no-regression results.</x:v>
      </x:c>
      <x:c r="AA33" s="26" t="str">
        <x:v>Adds revision, Correction, conflict, Trash, suppression, and export state; migration must be reversible and backup/restore coverage must pass before release acceptance.</x:v>
      </x:c>
      <x:c r="AB33" s="26" t="str">
        <x:v>Move to Done only when the named task evidence exists; prototype or document intent cannot prove implementation or release completion.</x:v>
      </x:c>
      <x:c r="AC33" s="26" t="str">
        <x:v>https://github.com/arunpr614/Life-Reflection/issues/29</x:v>
      </x:c>
    </x:row>
    <x:row r="34" ht="90" customHeight="1">
      <x:c r="A34" s="26" t="str">
        <x:v>ENG-R4-002</x:v>
      </x:c>
      <x:c r="B34" s="26" t="str">
        <x:v>Trash/Suppressions/Export</x:v>
      </x:c>
      <x:c r="C34" s="26" t="str">
        <x:v>Backlog</x:v>
      </x:c>
      <x:c r="D34" s="26" t="str">
        <x:v>Incomplete</x:v>
      </x:c>
      <x:c r="E34" s="26" t="str">
        <x:v>No</x:v>
      </x:c>
      <x:c r="F34" s="26" t="str">
        <x:v>future-release-gated</x:v>
      </x:c>
      <x:c r="G34" s="26" t="str">
        <x:v>R4</x:v>
      </x:c>
      <x:c r="H34" s="26" t="str">
        <x:v>Implementation</x:v>
      </x:c>
      <x:c r="I34" s="26" t="str">
        <x:v>Engineering</x:v>
      </x:c>
      <x:c r="J34" s="26" t="str">
        <x:v>High</x:v>
      </x:c>
      <x:c r="K34" s="35" t="n">
        <x:v>46335</x:v>
      </x:c>
      <x:c r="L34" s="35" t="n">
        <x:v>46344</x:v>
      </x:c>
      <x:c r="M34" s="26" t="n">
        <x:f>IF(OR(K34="",L34=""),"",L34-K34+1)</x:f>
        <x:v>10</x:v>
      </x:c>
      <x:c r="N34" s="26" t="str">
        <x:v>LID-SCP-004, LID-REF-007, LID-OPS-010, LID-OPS-011, LID-OPS-013, LID-OPS-018</x:v>
      </x:c>
      <x:c r="O34" s="26" t="str">
        <x:v>ENG-R4-001</x:v>
      </x:c>
      <x:c r="P34" s="26" t="str">
        <x:v>https://github.com/arunpr614/Life-Reflection/blob/main/docs/product/releases/PRD-R4-SOURCE-HISTORY-LIFECYCLE.md</x:v>
      </x:c>
      <x:c r="Q34" s="26" t="str">
        <x:v>https://github.com/arunpr614/Life-Reflection/blob/main/docs/work-items/ENG-R4-002/P0-ENG-R4-002-PRD.md</x:v>
      </x:c>
      <x:c r="R34" s="26" t="str">
        <x:v>https://github.com/arunpr614/Life-Reflection/blob/main/docs/work-items/ENG-R4-002/P0-ENG-R4-002-TECHNICAL-PLAN.md</x:v>
      </x:c>
      <x:c r="S34" s="26" t="str">
        <x:v>https://github.com/arunpr614/Life-Reflection/blob/main/docs/work-items/ENG-R4-002/P0-ENG-R4-002-DESIGN-SPEC.md</x:v>
      </x:c>
      <x:c r="T34" s="26" t="str">
        <x:v>https://github.com/arunpr614/Life-Reflection/blob/main/docs/work-items/ENG-R4-002/P0-ENG-R4-002-QA-PLAN.md</x:v>
      </x:c>
      <x:c r="U34" s="26" t="str">
        <x:v>https://github.com/arunpr614/Life-Reflection/blob/main/docs/work-items/ENG-R4-002/P0-ENG-R4-002-DELIVERY-CHECKLIST.md</x:v>
      </x:c>
      <x:c r="V34" s="26" t="str">
        <x:v>https://github.com/arunpr614/Life-Reflection/blob/main/docs/work-items/ENG-R4-002/P0-ENG-R4-002-COUNCIL-READINESS.md</x:v>
      </x:c>
      <x:c r="W34" s="26" t="str">
        <x:v>https://github.com/arunpr614/Life-Reflection/blob/main/docs/council/UX-DESIGN-REVIEW.md</x:v>
      </x:c>
      <x:c r="X34" s="26" t="str">
        <x:v>https://github.com/arunpr614/Life-Reflection/blob/main/docs/architecture/PHASE1-IMPLEMENTATION-PLAN.md</x:v>
      </x:c>
      <x:c r="Y34" s="26" t="str">
        <x:v>Implement 30-day Trash, restoration/permanent deletion, suppressions, complete encrypted export, cleanup, and import validation.</x:v>
      </x:c>
      <x:c r="Z34" s="26" t="str">
        <x:v>Merged implementation for ENG-R4-002 — Trash/Suppressions/Export proves “Implement 30-day Trash, restoration/permanent deletion, suppressions, complete encrypted export, cleanup, and import validation.” with task-specific tests, immutable build/SBOM, migrations, sanitized deployment evidence when authorized, separate-path restore, rollback, and no-regression results.</x:v>
      </x:c>
      <x:c r="AA34" s="26" t="str">
        <x:v>Adds revision, Correction, conflict, Trash, suppression, and export state; migration must be reversible and backup/restore coverage must pass before release acceptance.</x:v>
      </x:c>
      <x:c r="AB34" s="26" t="str">
        <x:v>Move to Done only when the named task evidence exists; prototype or document intent cannot prove implementation or release completion.</x:v>
      </x:c>
      <x:c r="AC34" s="26" t="str">
        <x:v>https://github.com/arunpr614/Life-Reflection/issues/30</x:v>
      </x:c>
    </x:row>
    <x:row r="35" ht="90" customHeight="1">
      <x:c r="A35" s="26" t="str">
        <x:v>REL-R4-001</x:v>
      </x:c>
      <x:c r="B35" s="26" t="str">
        <x:v>Lifecycle/Export Restore Acceptance</x:v>
      </x:c>
      <x:c r="C35" s="26" t="str">
        <x:v>Backlog</x:v>
      </x:c>
      <x:c r="D35" s="26" t="str">
        <x:v>Incomplete</x:v>
      </x:c>
      <x:c r="E35" s="26" t="str">
        <x:v>No</x:v>
      </x:c>
      <x:c r="F35" s="26" t="str">
        <x:v>future-release-gated</x:v>
      </x:c>
      <x:c r="G35" s="26" t="str">
        <x:v>R4</x:v>
      </x:c>
      <x:c r="H35" s="26" t="str">
        <x:v>Release acceptance</x:v>
      </x:c>
      <x:c r="I35" s="26" t="str">
        <x:v>Project Manager + Independent QA</x:v>
      </x:c>
      <x:c r="J35" s="26" t="str">
        <x:v>High</x:v>
      </x:c>
      <x:c r="K35" s="35" t="n">
        <x:v>46345</x:v>
      </x:c>
      <x:c r="L35" s="35" t="n">
        <x:v>46346</x:v>
      </x:c>
      <x:c r="M35" s="26" t="n">
        <x:f>IF(OR(K35="",L35=""),"",L35-K35+1)</x:f>
        <x:v>2</x:v>
      </x:c>
      <x:c r="N35" s="26" t="str">
        <x:v>LID-SCP-004, LID-SRC-001, LID-SRC-002, LID-SRC-004, LID-REF-007, LID-OPS-010, LID-OPS-011, LID-OPS-013, LID-OPS-018</x:v>
      </x:c>
      <x:c r="O35" s="26" t="str">
        <x:v>ENG-R4-001, ENG-R4-002</x:v>
      </x:c>
      <x:c r="P35" s="26" t="str">
        <x:v>https://github.com/arunpr614/Life-Reflection/blob/main/docs/product/releases/PRD-R4-SOURCE-HISTORY-LIFECYCLE.md</x:v>
      </x:c>
      <x:c r="Q35" s="26" t="str">
        <x:v>https://github.com/arunpr614/Life-Reflection/blob/main/docs/work-items/REL-R4-001/P0-REL-R4-001-PRD.md</x:v>
      </x:c>
      <x:c r="R35" s="26" t="str">
        <x:v>https://github.com/arunpr614/Life-Reflection/blob/main/docs/work-items/REL-R4-001/P0-REL-R4-001-TECHNICAL-PLAN.md</x:v>
      </x:c>
      <x:c r="S35" s="26" t="str">
        <x:v>https://github.com/arunpr614/Life-Reflection/blob/main/docs/work-items/REL-R4-001/P0-REL-R4-001-DESIGN-SPEC.md</x:v>
      </x:c>
      <x:c r="T35" s="26" t="str">
        <x:v>https://github.com/arunpr614/Life-Reflection/blob/main/docs/work-items/REL-R4-001/P0-REL-R4-001-QA-PLAN.md</x:v>
      </x:c>
      <x:c r="U35" s="26" t="str">
        <x:v>https://github.com/arunpr614/Life-Reflection/blob/main/docs/work-items/REL-R4-001/P0-REL-R4-001-DELIVERY-CHECKLIST.md</x:v>
      </x:c>
      <x:c r="V35" s="26" t="str">
        <x:v>https://github.com/arunpr614/Life-Reflection/blob/main/docs/work-items/REL-R4-001/P0-REL-R4-001-COUNCIL-READINESS.md</x:v>
      </x:c>
      <x:c r="W35" s="26" t="str">
        <x:v>https://github.com/arunpr614/Life-Reflection/blob/main/docs/council/UX-DESIGN-REVIEW.md</x:v>
      </x:c>
      <x:c r="X35" s="26" t="str">
        <x:v>https://github.com/arunpr614/Life-Reflection/blob/main/docs/architecture/PHASE1-IMPLEMENTATION-PLAN.md</x:v>
      </x:c>
      <x:c r="Y35" s="26" t="str">
        <x:v>Verify conflict outcomes, deletion/restoration, day visibility, suppression, export completeness, import/restore, and rollback.</x:v>
      </x:c>
      <x:c r="Z35" s="26" t="str">
        <x:v>Release acceptance for REL-R4-001 — Lifecycle/Export Restore Acceptance links independent QA, five-seat review, every task-specific dossier, backup/separate-path restore for each new shape, rollback, defect gate, and proceed/hold/rollback record; a human attestation is included only for a named non-delegable act.</x:v>
      </x:c>
      <x:c r="AA35" s="26" t="str">
        <x:v>Validates rollback and restore for every persistent shape introduced by the milestone; acceptance never substitutes a successful backup upload for restore evidence.</x:v>
      </x:c>
      <x:c r="AB35" s="26" t="str">
        <x:v>Move to Done only when the named task evidence exists; prototype or document intent cannot prove implementation or release completion.</x:v>
      </x:c>
      <x:c r="AC35" s="26" t="str">
        <x:v>https://github.com/arunpr614/Life-Reflection/issues/31</x:v>
      </x:c>
    </x:row>
    <x:row r="36" ht="90" customHeight="1">
      <x:c r="A36" s="26" t="str">
        <x:v>SPK-R5-001</x:v>
      </x:c>
      <x:c r="B36" s="26" t="str">
        <x:v>VoiceNotes Synthetic Contract Spike</x:v>
      </x:c>
      <x:c r="C36" s="26" t="str">
        <x:v>Backlog</x:v>
      </x:c>
      <x:c r="D36" s="26" t="str">
        <x:v>Incomplete</x:v>
      </x:c>
      <x:c r="E36" s="26" t="str">
        <x:v>No</x:v>
      </x:c>
      <x:c r="F36" s="26" t="str">
        <x:v>future-synthetic-contract-gated</x:v>
      </x:c>
      <x:c r="G36" s="26" t="str">
        <x:v>R5</x:v>
      </x:c>
      <x:c r="H36" s="26" t="str">
        <x:v>Spike</x:v>
      </x:c>
      <x:c r="I36" s="26" t="str">
        <x:v>Technical Architect</x:v>
      </x:c>
      <x:c r="J36" s="26" t="str">
        <x:v>High</x:v>
      </x:c>
      <x:c r="K36" s="35" t="n">
        <x:v>46349</x:v>
      </x:c>
      <x:c r="L36" s="35" t="n">
        <x:v>46351</x:v>
      </x:c>
      <x:c r="M36" s="26" t="n">
        <x:f>IF(OR(K36="",L36=""),"",L36-K36+1)</x:f>
        <x:v>3</x:v>
      </x:c>
      <x:c r="N36" s="26" t="str">
        <x:v>LID-VN-001, LID-VN-002, LID-VN-003, LID-VN-004, LID-VN-005</x:v>
      </x:c>
      <x:c r="O36" s="26" t="str">
        <x:v>REL-R4-001</x:v>
      </x:c>
      <x:c r="P36" s="26" t="str">
        <x:v>https://github.com/arunpr614/Life-Reflection/blob/main/docs/product/releases/PRD-R5-PROSPECTIVE-VOICENOTES-SYNC.md</x:v>
      </x:c>
      <x:c r="Q36" s="26" t="str">
        <x:v>https://github.com/arunpr614/Life-Reflection/blob/main/docs/work-items/SPK-R5-001/P0-SPK-R5-001-PRD.md</x:v>
      </x:c>
      <x:c r="R36" s="26" t="str">
        <x:v>https://github.com/arunpr614/Life-Reflection/blob/main/docs/work-items/SPK-R5-001/P0-SPK-R5-001-TECHNICAL-PLAN.md</x:v>
      </x:c>
      <x:c r="S36" s="26" t="str">
        <x:v>https://github.com/arunpr614/Life-Reflection/blob/main/docs/work-items/SPK-R5-001/P0-SPK-R5-001-DESIGN-SPEC.md</x:v>
      </x:c>
      <x:c r="T36" s="26" t="str">
        <x:v>https://github.com/arunpr614/Life-Reflection/blob/main/docs/work-items/SPK-R5-001/P0-SPK-R5-001-QA-PLAN.md</x:v>
      </x:c>
      <x:c r="U36" s="26" t="str">
        <x:v>https://github.com/arunpr614/Life-Reflection/blob/main/docs/work-items/SPK-R5-001/P0-SPK-R5-001-DELIVERY-CHECKLIST.md</x:v>
      </x:c>
      <x:c r="V36" s="26" t="str">
        <x:v>https://github.com/arunpr614/Life-Reflection/blob/main/docs/work-items/SPK-R5-001/P0-SPK-R5-001-COUNCIL-READINESS.md</x:v>
      </x:c>
      <x:c r="W36" s="26" t="str">
        <x:v>https://github.com/arunpr614/Life-Reflection/blob/main/docs/council/UX-DESIGN-REVIEW.md</x:v>
      </x:c>
      <x:c r="X36" s="26" t="str">
        <x:v>https://github.com/arunpr614/Life-Reflection/blob/main/docs/architecture/PHASE1-IMPLEMENTATION-PLAN.md</x:v>
      </x:c>
      <x:c r="Y36" s="26" t="str">
        <x:v>Prove exact note/revision identity, unattended authorization, authoritative retrieval, tag/date/transcript, wakeups, reconciliation, and failure behavior using synthetic data.</x:v>
      </x:c>
      <x:c r="Z36" s="26" t="str">
        <x:v>Synthetic VoiceNotes contract report proves identity, OAuth renewal, authoritative retrieval, tag/date/transcript, replay, reconciliation, and failure behavior.</x:v>
      </x:c>
      <x:c r="AA36" s="26" t="str">
        <x:v>No personal-data mutation is authorized by this task; it must define or prove reversible deployment and recovery before dependent implementation.</x:v>
      </x:c>
      <x:c r="AB36" s="26" t="str">
        <x:v>Move to Done only when the named task evidence exists; prototype or document intent cannot prove implementation or release completion.</x:v>
      </x:c>
      <x:c r="AC36" s="26" t="str">
        <x:v>https://github.com/arunpr614/Life-Reflection/issues/32</x:v>
      </x:c>
    </x:row>
    <x:row r="37" ht="90" customHeight="1">
      <x:c r="A37" s="26" t="str">
        <x:v>PRD-R5-001</x:v>
      </x:c>
      <x:c r="B37" s="26" t="str">
        <x:v>VoiceNotes PRD</x:v>
      </x:c>
      <x:c r="C37" s="26" t="str">
        <x:v>Done</x:v>
      </x:c>
      <x:c r="D37" s="26" t="str">
        <x:v>Incomplete</x:v>
      </x:c>
      <x:c r="E37" s="26" t="str">
        <x:v>No</x:v>
      </x:c>
      <x:c r="F37" s="26" t="str">
        <x:v>planning-only-historical</x:v>
      </x:c>
      <x:c r="G37" s="26" t="str">
        <x:v>R5</x:v>
      </x:c>
      <x:c r="H37" s="26" t="str">
        <x:v>Product definition</x:v>
      </x:c>
      <x:c r="I37" s="26" t="str">
        <x:v>Product Manager</x:v>
      </x:c>
      <x:c r="J37" s="26" t="str">
        <x:v>High</x:v>
      </x:c>
      <x:c r="K37" s="35" t="n">
        <x:v>46349</x:v>
      </x:c>
      <x:c r="L37" s="35" t="n">
        <x:v>46353</x:v>
      </x:c>
      <x:c r="M37" s="26" t="n">
        <x:f>IF(OR(K37="",L37=""),"",L37-K37+1)</x:f>
        <x:v>5</x:v>
      </x:c>
      <x:c r="N37" s="26" t="str">
        <x:v>LID-VN-001, LID-VN-002, LID-VN-003, LID-VN-004, LID-VN-005, LID-VN-006, LID-VN-007, LID-OPS-011, LID-OPS-015, LID-OPS-018</x:v>
      </x:c>
      <x:c r="O37" s="26" t="str">
        <x:v>PC-001</x:v>
      </x:c>
      <x:c r="P37" s="26" t="str">
        <x:v>https://github.com/arunpr614/Life-Reflection/blob/main/docs/product/releases/PRD-R5-PROSPECTIVE-VOICENOTES-SYNC.md</x:v>
      </x:c>
      <x:c r="Q37" s="26" t="str">
        <x:v>https://github.com/arunpr614/Life-Reflection/blob/main/docs/work-items/PRD-R5-001/P0-PRD-R5-001-PRD.md</x:v>
      </x:c>
      <x:c r="R37" s="26" t="str">
        <x:v>https://github.com/arunpr614/Life-Reflection/blob/main/docs/work-items/PRD-R5-001/P0-PRD-R5-001-TECHNICAL-PLAN.md</x:v>
      </x:c>
      <x:c r="S37" s="26" t="str">
        <x:v>https://github.com/arunpr614/Life-Reflection/blob/main/docs/work-items/PRD-R5-001/P0-PRD-R5-001-DESIGN-SPEC.md</x:v>
      </x:c>
      <x:c r="T37" s="26" t="str">
        <x:v>https://github.com/arunpr614/Life-Reflection/blob/main/docs/work-items/PRD-R5-001/P0-PRD-R5-001-QA-PLAN.md</x:v>
      </x:c>
      <x:c r="U37" s="26" t="str">
        <x:v>https://github.com/arunpr614/Life-Reflection/blob/main/docs/work-items/PRD-R5-001/P0-PRD-R5-001-DELIVERY-CHECKLIST.md</x:v>
      </x:c>
      <x:c r="V37" s="26" t="str">
        <x:v>https://github.com/arunpr614/Life-Reflection/blob/main/docs/work-items/PRD-R5-001/P0-PRD-R5-001-COUNCIL-READINESS.md</x:v>
      </x:c>
      <x:c r="W37" s="26" t="str">
        <x:v>https://github.com/arunpr614/Life-Reflection/blob/main/docs/council/UX-DESIGN-REVIEW.md</x:v>
      </x:c>
      <x:c r="X37" s="26" t="str">
        <x:v>https://github.com/arunpr614/Life-Reflection/blob/main/docs/architecture/PHASE1-IMPLEMENTATION-PLAN.md</x:v>
      </x:c>
      <x:c r="Y37" s="26" t="str">
        <x:v>Define spike-gated prospective eligibility, activation, dating, reconciliation, revisions, suppression, and lifecycle behavior.</x:v>
      </x:c>
      <x:c r="Z37" s="26" t="str">
        <x:v>Release document docs/product/releases/PRD-R5-PROSPECTIVE-VOICENOTES-SYNC.md exists, passes link/requirement validation, and separates council-delegated evidence gates from specifically named non-delegable human acts.</x:v>
      </x:c>
      <x:c r="AA37" s="26" t="str">
        <x:v>Planning evidence only; no production data mutation. Any later implementation still needs its own migration, restore, and rollback proof.</x:v>
      </x:c>
      <x:c r="AB37" s="26" t="str">
        <x:v>This planning artifact is complete; it does not claim feature implementation, deployment, production readiness, or release acceptance.</x:v>
      </x:c>
      <x:c r="AC37" s="26" t="str">
        <x:v>https://github.com/arunpr614/Life-Reflection/issues/33</x:v>
      </x:c>
    </x:row>
    <x:row r="38" ht="90" customHeight="1">
      <x:c r="A38" s="26" t="str">
        <x:v>UX-R5-001</x:v>
      </x:c>
      <x:c r="B38" s="26" t="str">
        <x:v>Integration/Reconciliation/Lifecycle Designs</x:v>
      </x:c>
      <x:c r="C38" s="26" t="str">
        <x:v>Backlog</x:v>
      </x:c>
      <x:c r="D38" s="26" t="str">
        <x:v>Incomplete</x:v>
      </x:c>
      <x:c r="E38" s="26" t="str">
        <x:v>No</x:v>
      </x:c>
      <x:c r="F38" s="26" t="str">
        <x:v>future-synthetic-contract-gated</x:v>
      </x:c>
      <x:c r="G38" s="26" t="str">
        <x:v>R5</x:v>
      </x:c>
      <x:c r="H38" s="26" t="str">
        <x:v>Design</x:v>
      </x:c>
      <x:c r="I38" s="26" t="str">
        <x:v>UI/UX Designer</x:v>
      </x:c>
      <x:c r="J38" s="26" t="str">
        <x:v>High</x:v>
      </x:c>
      <x:c r="K38" s="35" t="n">
        <x:v>46350</x:v>
      </x:c>
      <x:c r="L38" s="35" t="n">
        <x:v>46353</x:v>
      </x:c>
      <x:c r="M38" s="26" t="n">
        <x:f>IF(OR(K38="",L38=""),"",L38-K38+1)</x:f>
        <x:v>4</x:v>
      </x:c>
      <x:c r="N38" s="26" t="str">
        <x:v>LID-VN-002, LID-VN-003, LID-VN-004, LID-VN-005, LID-VN-006, LID-VN-007, LID-OPS-015</x:v>
      </x:c>
      <x:c r="O38" s="26" t="str">
        <x:v>PRD-R5-001, SPK-R5-001</x:v>
      </x:c>
      <x:c r="P38" s="26" t="str">
        <x:v>https://github.com/arunpr614/Life-Reflection/blob/main/docs/product/releases/PRD-R5-PROSPECTIVE-VOICENOTES-SYNC.md</x:v>
      </x:c>
      <x:c r="Q38" s="26" t="str">
        <x:v>https://github.com/arunpr614/Life-Reflection/blob/main/docs/work-items/UX-R5-001/P0-UX-R5-001-PRD.md</x:v>
      </x:c>
      <x:c r="R38" s="26" t="str">
        <x:v>https://github.com/arunpr614/Life-Reflection/blob/main/docs/work-items/UX-R5-001/P0-UX-R5-001-TECHNICAL-PLAN.md</x:v>
      </x:c>
      <x:c r="S38" s="26" t="str">
        <x:v>https://github.com/arunpr614/Life-Reflection/blob/main/docs/work-items/UX-R5-001/P0-UX-R5-001-DESIGN-SPEC.md</x:v>
      </x:c>
      <x:c r="T38" s="26" t="str">
        <x:v>https://github.com/arunpr614/Life-Reflection/blob/main/docs/work-items/UX-R5-001/P0-UX-R5-001-QA-PLAN.md</x:v>
      </x:c>
      <x:c r="U38" s="26" t="str">
        <x:v>https://github.com/arunpr614/Life-Reflection/blob/main/docs/work-items/UX-R5-001/P0-UX-R5-001-DELIVERY-CHECKLIST.md</x:v>
      </x:c>
      <x:c r="V38" s="26" t="str">
        <x:v>https://github.com/arunpr614/Life-Reflection/blob/main/docs/work-items/UX-R5-001/P0-UX-R5-001-COUNCIL-READINESS.md</x:v>
      </x:c>
      <x:c r="W38" s="26" t="str">
        <x:v>https://github.com/arunpr614/Life-Reflection/blob/main/docs/council/UX-DESIGN-REVIEW.md</x:v>
      </x:c>
      <x:c r="X38" s="26" t="str">
        <x:v>https://github.com/arunpr614/Life-Reflection/blob/main/docs/architecture/PHASE1-IMPLEMENTATION-PLAN.md</x:v>
      </x:c>
      <x:c r="Y38" s="26" t="str">
        <x:v>Design activation, integration health, Date Review, reconciliation, upstream revision/conflict, suppression, and re-import states.</x:v>
      </x:c>
      <x:c r="Z38" s="26" t="str">
        <x:v>Approved task-specific design for UX-R5-001 — Integration/Reconciliation/Lifecycle Designs links complete normal/empty/loading/error/interruption/destructive states, responsive behavior, accessibility annotations, prototype dispositions, and Designer sign-off.</x:v>
      </x:c>
      <x:c r="AA38" s="26" t="str">
        <x:v>Planning evidence only; no production data mutation. Any later implementation still needs its own migration, restore, and rollback proof.</x:v>
      </x:c>
      <x:c r="AB38" s="26" t="str">
        <x:v>Move to Done only when the named task evidence exists; prototype or document intent cannot prove implementation or release completion.</x:v>
      </x:c>
      <x:c r="AC38" s="26" t="str">
        <x:v>https://github.com/arunpr614/Life-Reflection/issues/34</x:v>
      </x:c>
    </x:row>
    <x:row r="39" ht="90" customHeight="1">
      <x:c r="A39" s="26" t="str">
        <x:v>ARCH-R5-001</x:v>
      </x:c>
      <x:c r="B39" s="26" t="str">
        <x:v>VoiceNotes Adapter &amp; Reconciliation Contract</x:v>
      </x:c>
      <x:c r="C39" s="26" t="str">
        <x:v>Backlog</x:v>
      </x:c>
      <x:c r="D39" s="26" t="str">
        <x:v>Incomplete</x:v>
      </x:c>
      <x:c r="E39" s="26" t="str">
        <x:v>No</x:v>
      </x:c>
      <x:c r="F39" s="26" t="str">
        <x:v>future-synthetic-contract-gated</x:v>
      </x:c>
      <x:c r="G39" s="26" t="str">
        <x:v>R5</x:v>
      </x:c>
      <x:c r="H39" s="26" t="str">
        <x:v>Architecture</x:v>
      </x:c>
      <x:c r="I39" s="26" t="str">
        <x:v>Technical Architect</x:v>
      </x:c>
      <x:c r="J39" s="26" t="str">
        <x:v>High</x:v>
      </x:c>
      <x:c r="K39" s="35" t="n">
        <x:v>46350</x:v>
      </x:c>
      <x:c r="L39" s="35" t="n">
        <x:v>46353</x:v>
      </x:c>
      <x:c r="M39" s="26" t="n">
        <x:f>IF(OR(K39="",L39=""),"",L39-K39+1)</x:f>
        <x:v>4</x:v>
      </x:c>
      <x:c r="N39" s="26" t="str">
        <x:v>LID-VN-001, LID-VN-002, LID-VN-003, LID-VN-004, LID-VN-005, LID-VN-006, LID-VN-007, LID-OPS-011, LID-OPS-015, LID-OPS-018</x:v>
      </x:c>
      <x:c r="O39" s="26" t="str">
        <x:v>PRD-R5-001, SPK-R5-001, REL-R4-001</x:v>
      </x:c>
      <x:c r="P39" s="26" t="str">
        <x:v>https://github.com/arunpr614/Life-Reflection/blob/main/docs/product/releases/PRD-R5-PROSPECTIVE-VOICENOTES-SYNC.md</x:v>
      </x:c>
      <x:c r="Q39" s="26" t="str">
        <x:v>https://github.com/arunpr614/Life-Reflection/blob/main/docs/work-items/ARCH-R5-001/P0-ARCH-R5-001-PRD.md</x:v>
      </x:c>
      <x:c r="R39" s="26" t="str">
        <x:v>https://github.com/arunpr614/Life-Reflection/blob/main/docs/work-items/ARCH-R5-001/P0-ARCH-R5-001-TECHNICAL-PLAN.md</x:v>
      </x:c>
      <x:c r="S39" s="26" t="str">
        <x:v>https://github.com/arunpr614/Life-Reflection/blob/main/docs/work-items/ARCH-R5-001/P0-ARCH-R5-001-DESIGN-SPEC.md</x:v>
      </x:c>
      <x:c r="T39" s="26" t="str">
        <x:v>https://github.com/arunpr614/Life-Reflection/blob/main/docs/work-items/ARCH-R5-001/P0-ARCH-R5-001-QA-PLAN.md</x:v>
      </x:c>
      <x:c r="U39" s="26" t="str">
        <x:v>https://github.com/arunpr614/Life-Reflection/blob/main/docs/work-items/ARCH-R5-001/P0-ARCH-R5-001-DELIVERY-CHECKLIST.md</x:v>
      </x:c>
      <x:c r="V39" s="26" t="str">
        <x:v>https://github.com/arunpr614/Life-Reflection/blob/main/docs/work-items/ARCH-R5-001/P0-ARCH-R5-001-COUNCIL-READINESS.md</x:v>
      </x:c>
      <x:c r="W39" s="26" t="str">
        <x:v>https://github.com/arunpr614/Life-Reflection/blob/main/docs/council/UX-DESIGN-REVIEW.md</x:v>
      </x:c>
      <x:c r="X39" s="26" t="str">
        <x:v>https://github.com/arunpr614/Life-Reflection/blob/main/docs/architecture/PHASE1-IMPLEMENTATION-PLAN.md</x:v>
      </x:c>
      <x:c r="Y39" s="26" t="str">
        <x:v>Freeze the spike-proven adapter, opaque identities, authorization renewal, fail-closed paging, durable jobs, reconciliation, and restore design.</x:v>
      </x:c>
      <x:c r="Z39" s="26" t="str">
        <x:v>Approved task-specific technical plan for ARCH-R5-001 — VoiceNotes Adapter &amp; Reconciliation Contract links owned modules, ADRs, threats/data flows, interfaces/data shapes, capacity, migration, restore, rollback, and Architect sign-off.</x:v>
      </x:c>
      <x:c r="AA39" s="26" t="str">
        <x:v>No personal-data mutation is authorized by this task; it must define or prove reversible deployment and recovery before dependent implementation.</x:v>
      </x:c>
      <x:c r="AB39" s="26" t="str">
        <x:v>Move to Done only when the named task evidence exists; prototype or document intent cannot prove implementation or release completion.</x:v>
      </x:c>
      <x:c r="AC39" s="26" t="str">
        <x:v>https://github.com/arunpr614/Life-Reflection/issues/35</x:v>
      </x:c>
    </x:row>
    <x:row r="40" ht="90" customHeight="1">
      <x:c r="A40" s="26" t="str">
        <x:v>ENG-R5-001</x:v>
      </x:c>
      <x:c r="B40" s="26" t="str">
        <x:v>Prospective Import &amp; Revisions</x:v>
      </x:c>
      <x:c r="C40" s="26" t="str">
        <x:v>Backlog</x:v>
      </x:c>
      <x:c r="D40" s="26" t="str">
        <x:v>Incomplete</x:v>
      </x:c>
      <x:c r="E40" s="26" t="str">
        <x:v>No</x:v>
      </x:c>
      <x:c r="F40" s="26" t="str">
        <x:v>future-synthetic-contract-gated</x:v>
      </x:c>
      <x:c r="G40" s="26" t="str">
        <x:v>R5</x:v>
      </x:c>
      <x:c r="H40" s="26" t="str">
        <x:v>Implementation</x:v>
      </x:c>
      <x:c r="I40" s="26" t="str">
        <x:v>Engineering</x:v>
      </x:c>
      <x:c r="J40" s="26" t="str">
        <x:v>High</x:v>
      </x:c>
      <x:c r="K40" s="35" t="n">
        <x:v>46352</x:v>
      </x:c>
      <x:c r="L40" s="35" t="n">
        <x:v>46365</x:v>
      </x:c>
      <x:c r="M40" s="26" t="n">
        <x:f>IF(OR(K40="",L40=""),"",L40-K40+1)</x:f>
        <x:v>14</x:v>
      </x:c>
      <x:c r="N40" s="26" t="str">
        <x:v>LID-VN-001, LID-VN-002, LID-VN-003, LID-VN-004, LID-VN-005, LID-VN-006, LID-VN-007, LID-OPS-011, LID-OPS-015, LID-OPS-018</x:v>
      </x:c>
      <x:c r="O40" s="26" t="str">
        <x:v>UX-R5-001, ARCH-R5-001, REL-R4-001</x:v>
      </x:c>
      <x:c r="P40" s="26" t="str">
        <x:v>https://github.com/arunpr614/Life-Reflection/blob/main/docs/product/releases/PRD-R5-PROSPECTIVE-VOICENOTES-SYNC.md</x:v>
      </x:c>
      <x:c r="Q40" s="26" t="str">
        <x:v>https://github.com/arunpr614/Life-Reflection/blob/main/docs/work-items/ENG-R5-001/P0-ENG-R5-001-PRD.md</x:v>
      </x:c>
      <x:c r="R40" s="26" t="str">
        <x:v>https://github.com/arunpr614/Life-Reflection/blob/main/docs/work-items/ENG-R5-001/P0-ENG-R5-001-TECHNICAL-PLAN.md</x:v>
      </x:c>
      <x:c r="S40" s="26" t="str">
        <x:v>https://github.com/arunpr614/Life-Reflection/blob/main/docs/work-items/ENG-R5-001/P0-ENG-R5-001-DESIGN-SPEC.md</x:v>
      </x:c>
      <x:c r="T40" s="26" t="str">
        <x:v>https://github.com/arunpr614/Life-Reflection/blob/main/docs/work-items/ENG-R5-001/P0-ENG-R5-001-QA-PLAN.md</x:v>
      </x:c>
      <x:c r="U40" s="26" t="str">
        <x:v>https://github.com/arunpr614/Life-Reflection/blob/main/docs/work-items/ENG-R5-001/P0-ENG-R5-001-DELIVERY-CHECKLIST.md</x:v>
      </x:c>
      <x:c r="V40" s="26" t="str">
        <x:v>https://github.com/arunpr614/Life-Reflection/blob/main/docs/work-items/ENG-R5-001/P0-ENG-R5-001-COUNCIL-READINESS.md</x:v>
      </x:c>
      <x:c r="W40" s="26" t="str">
        <x:v>https://github.com/arunpr614/Life-Reflection/blob/main/docs/council/UX-DESIGN-REVIEW.md</x:v>
      </x:c>
      <x:c r="X40" s="26" t="str">
        <x:v>https://github.com/arunpr614/Life-Reflection/blob/main/docs/architecture/PHASE1-IMPLEMENTATION-PLAN.md</x:v>
      </x:c>
      <x:c r="Y40" s="26" t="str">
        <x:v>Implement exact post-activation import, creation-time dating/review, replay-safe reconciliation, revisions, upstream status, suppression, and alerts.</x:v>
      </x:c>
      <x:c r="Z40" s="26" t="str">
        <x:v>Merged implementation for ENG-R5-001 — Prospective Import &amp; Revisions proves “Implement exact post-activation import, creation-time dating/review, replay-safe reconciliation, revisions, upstream status, suppression, and alerts.” with task-specific tests, immutable build/SBOM, migrations, sanitized deployment evidence when authorized, separate-path restore, rollback, and no-regression results.</x:v>
      </x:c>
      <x:c r="AA40" s="26" t="str">
        <x:v>Adds VoiceNotes identity, activation, revision, reconciliation, and suppression state; migration must be reversible and backup/restore coverage must pass before release acceptance.</x:v>
      </x:c>
      <x:c r="AB40" s="26" t="str">
        <x:v>Move to Done only when the named task evidence exists; prototype or document intent cannot prove implementation or release completion.</x:v>
      </x:c>
      <x:c r="AC40" s="26" t="str">
        <x:v>https://github.com/arunpr614/Life-Reflection/issues/36</x:v>
      </x:c>
    </x:row>
    <x:row r="41" ht="90" customHeight="1">
      <x:c r="A41" s="26" t="str">
        <x:v>REL-R5-001</x:v>
      </x:c>
      <x:c r="B41" s="26" t="str">
        <x:v>Replay/Suppression/Restore Acceptance</x:v>
      </x:c>
      <x:c r="C41" s="26" t="str">
        <x:v>Backlog</x:v>
      </x:c>
      <x:c r="D41" s="26" t="str">
        <x:v>Incomplete</x:v>
      </x:c>
      <x:c r="E41" s="26" t="str">
        <x:v>No</x:v>
      </x:c>
      <x:c r="F41" s="26" t="str">
        <x:v>future-synthetic-contract-gated</x:v>
      </x:c>
      <x:c r="G41" s="26" t="str">
        <x:v>R5</x:v>
      </x:c>
      <x:c r="H41" s="26" t="str">
        <x:v>Release acceptance</x:v>
      </x:c>
      <x:c r="I41" s="26" t="str">
        <x:v>Project Manager + Independent QA</x:v>
      </x:c>
      <x:c r="J41" s="26" t="str">
        <x:v>High</x:v>
      </x:c>
      <x:c r="K41" s="35" t="n">
        <x:v>46366</x:v>
      </x:c>
      <x:c r="L41" s="35" t="n">
        <x:v>46367</x:v>
      </x:c>
      <x:c r="M41" s="26" t="n">
        <x:f>IF(OR(K41="",L41=""),"",L41-K41+1)</x:f>
        <x:v>2</x:v>
      </x:c>
      <x:c r="N41" s="26" t="str">
        <x:v>LID-VN-001, LID-VN-002, LID-VN-003, LID-VN-004, LID-VN-005, LID-VN-006, LID-VN-007, LID-OPS-011, LID-OPS-015, LID-OPS-018</x:v>
      </x:c>
      <x:c r="O41" s="26" t="str">
        <x:v>ENG-R5-001</x:v>
      </x:c>
      <x:c r="P41" s="26" t="str">
        <x:v>https://github.com/arunpr614/Life-Reflection/blob/main/docs/product/releases/PRD-R5-PROSPECTIVE-VOICENOTES-SYNC.md</x:v>
      </x:c>
      <x:c r="Q41" s="26" t="str">
        <x:v>https://github.com/arunpr614/Life-Reflection/blob/main/docs/work-items/REL-R5-001/P0-REL-R5-001-PRD.md</x:v>
      </x:c>
      <x:c r="R41" s="26" t="str">
        <x:v>https://github.com/arunpr614/Life-Reflection/blob/main/docs/work-items/REL-R5-001/P0-REL-R5-001-TECHNICAL-PLAN.md</x:v>
      </x:c>
      <x:c r="S41" s="26" t="str">
        <x:v>https://github.com/arunpr614/Life-Reflection/blob/main/docs/work-items/REL-R5-001/P0-REL-R5-001-DESIGN-SPEC.md</x:v>
      </x:c>
      <x:c r="T41" s="26" t="str">
        <x:v>https://github.com/arunpr614/Life-Reflection/blob/main/docs/work-items/REL-R5-001/P0-REL-R5-001-QA-PLAN.md</x:v>
      </x:c>
      <x:c r="U41" s="26" t="str">
        <x:v>https://github.com/arunpr614/Life-Reflection/blob/main/docs/work-items/REL-R5-001/P0-REL-R5-001-DELIVERY-CHECKLIST.md</x:v>
      </x:c>
      <x:c r="V41" s="26" t="str">
        <x:v>https://github.com/arunpr614/Life-Reflection/blob/main/docs/work-items/REL-R5-001/P0-REL-R5-001-COUNCIL-READINESS.md</x:v>
      </x:c>
      <x:c r="W41" s="26" t="str">
        <x:v>https://github.com/arunpr614/Life-Reflection/blob/main/docs/council/UX-DESIGN-REVIEW.md</x:v>
      </x:c>
      <x:c r="X41" s="26" t="str">
        <x:v>https://github.com/arunpr614/Life-Reflection/blob/main/docs/architecture/PHASE1-IMPLEMENTATION-PLAN.md</x:v>
      </x:c>
      <x:c r="Y41" s="26" t="str">
        <x:v>Verify activation boundaries, missed/duplicate/out-of-order replay, revisions, suppression/re-import, integration failure isolation, restore, and rollback.</x:v>
      </x:c>
      <x:c r="Z41" s="26" t="str">
        <x:v>Release acceptance for REL-R5-001 — Replay/Suppression/Restore Acceptance links independent QA, five-seat review, every task-specific dossier, backup/separate-path restore for each new shape, rollback, defect gate, and proceed/hold/rollback record; a human attestation is included only for a named non-delegable act.</x:v>
      </x:c>
      <x:c r="AA41" s="26" t="str">
        <x:v>Validates rollback and restore for every persistent shape introduced by the milestone; acceptance never substitutes a successful backup upload for restore evidence.</x:v>
      </x:c>
      <x:c r="AB41" s="26" t="str">
        <x:v>Move to Done only when the named task evidence exists; prototype or document intent cannot prove implementation or release completion.</x:v>
      </x:c>
      <x:c r="AC41" s="26" t="str">
        <x:v>https://github.com/arunpr614/Life-Reflection/issues/37</x:v>
      </x:c>
    </x:row>
    <x:row r="42" ht="90" customHeight="1">
      <x:c r="A42" s="26" t="str">
        <x:v>EVAL-R6-001</x:v>
      </x:c>
      <x:c r="B42" s="26" t="str">
        <x:v>Text Model Evaluation</x:v>
      </x:c>
      <x:c r="C42" s="26" t="str">
        <x:v>Backlog</x:v>
      </x:c>
      <x:c r="D42" s="26" t="str">
        <x:v>Incomplete</x:v>
      </x:c>
      <x:c r="E42" s="26" t="str">
        <x:v>No</x:v>
      </x:c>
      <x:c r="F42" s="26" t="str">
        <x:v>future-evaluation-and-human-approval-gated</x:v>
      </x:c>
      <x:c r="G42" s="26" t="str">
        <x:v>R6</x:v>
      </x:c>
      <x:c r="H42" s="26" t="str">
        <x:v>Evaluation</x:v>
      </x:c>
      <x:c r="I42" s="26" t="str">
        <x:v>Product Manager + Technical Architect</x:v>
      </x:c>
      <x:c r="J42" s="26" t="str">
        <x:v>Medium</x:v>
      </x:c>
      <x:c r="K42" s="35" t="n">
        <x:v>46370</x:v>
      </x:c>
      <x:c r="L42" s="35" t="n">
        <x:v>46374</x:v>
      </x:c>
      <x:c r="M42" s="26" t="n">
        <x:f>IF(OR(K42="",L42=""),"",L42-K42+1)</x:f>
        <x:v>5</x:v>
      </x:c>
      <x:c r="N42" s="26" t="str">
        <x:v>LID-AIT-001, LID-AIT-002, LID-AIT-003, LID-AIT-006, LID-AIT-007, LID-OPS-017</x:v>
      </x:c>
      <x:c r="O42" s="26" t="str">
        <x:v>REL-R5-001</x:v>
      </x:c>
      <x:c r="P42" s="26" t="str">
        <x:v>https://github.com/arunpr614/Life-Reflection/blob/main/docs/product/releases/PRD-R6-GENERATED-TEXT-REFLECTION.md</x:v>
      </x:c>
      <x:c r="Q42" s="26" t="str">
        <x:v>https://github.com/arunpr614/Life-Reflection/blob/main/docs/work-items/EVAL-R6-001/P0-EVAL-R6-001-PRD.md</x:v>
      </x:c>
      <x:c r="R42" s="26" t="str">
        <x:v>https://github.com/arunpr614/Life-Reflection/blob/main/docs/work-items/EVAL-R6-001/P0-EVAL-R6-001-TECHNICAL-PLAN.md</x:v>
      </x:c>
      <x:c r="S42" s="26" t="str">
        <x:v>https://github.com/arunpr614/Life-Reflection/blob/main/docs/work-items/EVAL-R6-001/P0-EVAL-R6-001-DESIGN-SPEC.md</x:v>
      </x:c>
      <x:c r="T42" s="26" t="str">
        <x:v>https://github.com/arunpr614/Life-Reflection/blob/main/docs/work-items/EVAL-R6-001/P0-EVAL-R6-001-QA-PLAN.md</x:v>
      </x:c>
      <x:c r="U42" s="26" t="str">
        <x:v>https://github.com/arunpr614/Life-Reflection/blob/main/docs/work-items/EVAL-R6-001/P0-EVAL-R6-001-DELIVERY-CHECKLIST.md</x:v>
      </x:c>
      <x:c r="V42" s="26" t="str">
        <x:v>https://github.com/arunpr614/Life-Reflection/blob/main/docs/work-items/EVAL-R6-001/P0-EVAL-R6-001-COUNCIL-READINESS.md</x:v>
      </x:c>
      <x:c r="W42" s="26" t="str">
        <x:v>https://github.com/arunpr614/Life-Reflection/blob/main/docs/council/UX-DESIGN-REVIEW.md</x:v>
      </x:c>
      <x:c r="X42" s="26" t="str">
        <x:v>https://github.com/arunpr614/Life-Reflection/blob/main/docs/architecture/PHASE1-IMPLEMENTATION-PLAN.md</x:v>
      </x:c>
      <x:c r="Y42" s="26" t="str">
        <x:v>Evaluate exact text provider/model snapshots against privacy, fidelity, schema, language, latency, and measured-cost hard gates.</x:v>
      </x:c>
      <x:c r="Z42" s="26" t="str">
        <x:v>Signed task-specific evaluation for EVAL-R6-001 — Text Model Evaluation records frozen fixtures/protocol, exact provider/model snapshots, hard-gate outcomes, measured cost/latency, privacy checks, and council decision.</x:v>
      </x:c>
      <x:c r="AA42" s="26" t="str">
        <x:v>Planning evidence only; no production data mutation. Any later implementation still needs its own migration, restore, and rollback proof.</x:v>
      </x:c>
      <x:c r="AB42" s="26" t="str">
        <x:v>Move to Done only when the named task evidence exists; prototype or document intent cannot prove implementation or release completion.</x:v>
      </x:c>
      <x:c r="AC42" s="26" t="str">
        <x:v>https://github.com/arunpr614/Life-Reflection/issues/38</x:v>
      </x:c>
    </x:row>
    <x:row r="43" ht="90" customHeight="1">
      <x:c r="A43" s="26" t="str">
        <x:v>PRD-R6-001</x:v>
      </x:c>
      <x:c r="B43" s="26" t="str">
        <x:v>Generated Text PRD</x:v>
      </x:c>
      <x:c r="C43" s="26" t="str">
        <x:v>Done</x:v>
      </x:c>
      <x:c r="D43" s="26" t="str">
        <x:v>Incomplete</x:v>
      </x:c>
      <x:c r="E43" s="26" t="str">
        <x:v>No</x:v>
      </x:c>
      <x:c r="F43" s="26" t="str">
        <x:v>planning-only-historical</x:v>
      </x:c>
      <x:c r="G43" s="26" t="str">
        <x:v>R6</x:v>
      </x:c>
      <x:c r="H43" s="26" t="str">
        <x:v>Product definition</x:v>
      </x:c>
      <x:c r="I43" s="26" t="str">
        <x:v>Product Manager</x:v>
      </x:c>
      <x:c r="J43" s="26" t="str">
        <x:v>Medium</x:v>
      </x:c>
      <x:c r="K43" s="35" t="n">
        <x:v>46370</x:v>
      </x:c>
      <x:c r="L43" s="35" t="n">
        <x:v>46374</x:v>
      </x:c>
      <x:c r="M43" s="26" t="n">
        <x:f>IF(OR(K43="",L43=""),"",L43-K43+1)</x:f>
        <x:v>5</x:v>
      </x:c>
      <x:c r="N43" s="26" t="str">
        <x:v>LID-AIT-001, LID-AIT-002, LID-AIT-003, LID-AIT-004, LID-AIT-005, LID-AIT-006, LID-AIT-007, LID-REF-006, LID-OPS-011, LID-OPS-017, LID-OPS-018</x:v>
      </x:c>
      <x:c r="O43" s="26" t="str">
        <x:v>PC-001</x:v>
      </x:c>
      <x:c r="P43" s="26" t="str">
        <x:v>https://github.com/arunpr614/Life-Reflection/blob/main/docs/product/releases/PRD-R6-GENERATED-TEXT-REFLECTION.md</x:v>
      </x:c>
      <x:c r="Q43" s="26" t="str">
        <x:v>https://github.com/arunpr614/Life-Reflection/blob/main/docs/work-items/PRD-R6-001/P0-PRD-R6-001-PRD.md</x:v>
      </x:c>
      <x:c r="R43" s="26" t="str">
        <x:v>https://github.com/arunpr614/Life-Reflection/blob/main/docs/work-items/PRD-R6-001/P0-PRD-R6-001-TECHNICAL-PLAN.md</x:v>
      </x:c>
      <x:c r="S43" s="26" t="str">
        <x:v>https://github.com/arunpr614/Life-Reflection/blob/main/docs/work-items/PRD-R6-001/P0-PRD-R6-001-DESIGN-SPEC.md</x:v>
      </x:c>
      <x:c r="T43" s="26" t="str">
        <x:v>https://github.com/arunpr614/Life-Reflection/blob/main/docs/work-items/PRD-R6-001/P0-PRD-R6-001-QA-PLAN.md</x:v>
      </x:c>
      <x:c r="U43" s="26" t="str">
        <x:v>https://github.com/arunpr614/Life-Reflection/blob/main/docs/work-items/PRD-R6-001/P0-PRD-R6-001-DELIVERY-CHECKLIST.md</x:v>
      </x:c>
      <x:c r="V43" s="26" t="str">
        <x:v>https://github.com/arunpr614/Life-Reflection/blob/main/docs/work-items/PRD-R6-001/P0-PRD-R6-001-COUNCIL-READINESS.md</x:v>
      </x:c>
      <x:c r="W43" s="26" t="str">
        <x:v>https://github.com/arunpr614/Life-Reflection/blob/main/docs/council/UX-DESIGN-REVIEW.md</x:v>
      </x:c>
      <x:c r="X43" s="26" t="str">
        <x:v>https://github.com/arunpr614/Life-Reflection/blob/main/docs/architecture/PHASE1-IMPLEMENTATION-PLAN.md</x:v>
      </x:c>
      <x:c r="Y43" s="26" t="str">
        <x:v>Define evaluated optional text derivation, typed inputs, quiet/final refresh, protection, provenance, failures, and budgets.</x:v>
      </x:c>
      <x:c r="Z43" s="26" t="str">
        <x:v>Release document docs/product/releases/PRD-R6-GENERATED-TEXT-REFLECTION.md exists, passes link/requirement validation, and separates council-delegated evidence gates from specifically named non-delegable human acts.</x:v>
      </x:c>
      <x:c r="AA43" s="26" t="str">
        <x:v>Planning evidence only; no production data mutation. Any later implementation still needs its own migration, restore, and rollback proof.</x:v>
      </x:c>
      <x:c r="AB43" s="26" t="str">
        <x:v>This planning artifact is complete; it does not claim feature implementation, deployment, production readiness, or release acceptance.</x:v>
      </x:c>
      <x:c r="AC43" s="26" t="str">
        <x:v>https://github.com/arunpr614/Life-Reflection/issues/39</x:v>
      </x:c>
    </x:row>
    <x:row r="44" ht="90" customHeight="1">
      <x:c r="A44" s="26" t="str">
        <x:v>UX-R6-001</x:v>
      </x:c>
      <x:c r="B44" s="26" t="str">
        <x:v>Text/Provider/Budget States</x:v>
      </x:c>
      <x:c r="C44" s="26" t="str">
        <x:v>Backlog</x:v>
      </x:c>
      <x:c r="D44" s="26" t="str">
        <x:v>Incomplete</x:v>
      </x:c>
      <x:c r="E44" s="26" t="str">
        <x:v>No</x:v>
      </x:c>
      <x:c r="F44" s="26" t="str">
        <x:v>future-evaluation-and-human-approval-gated</x:v>
      </x:c>
      <x:c r="G44" s="26" t="str">
        <x:v>R6</x:v>
      </x:c>
      <x:c r="H44" s="26" t="str">
        <x:v>Design</x:v>
      </x:c>
      <x:c r="I44" s="26" t="str">
        <x:v>UI/UX Designer</x:v>
      </x:c>
      <x:c r="J44" s="26" t="str">
        <x:v>Medium</x:v>
      </x:c>
      <x:c r="K44" s="35" t="n">
        <x:v>46372</x:v>
      </x:c>
      <x:c r="L44" s="35" t="n">
        <x:v>46378</x:v>
      </x:c>
      <x:c r="M44" s="26" t="n">
        <x:f>IF(OR(K44="",L44=""),"",L44-K44+1)</x:f>
        <x:v>7</x:v>
      </x:c>
      <x:c r="N44" s="26" t="str">
        <x:v>LID-AIT-002, LID-AIT-003, LID-AIT-004, LID-AIT-005, LID-AIT-007, LID-REF-006, LID-OPS-017</x:v>
      </x:c>
      <x:c r="O44" s="26" t="str">
        <x:v>PRD-R6-001, EVAL-R6-001</x:v>
      </x:c>
      <x:c r="P44" s="26" t="str">
        <x:v>https://github.com/arunpr614/Life-Reflection/blob/main/docs/product/releases/PRD-R6-GENERATED-TEXT-REFLECTION.md</x:v>
      </x:c>
      <x:c r="Q44" s="26" t="str">
        <x:v>https://github.com/arunpr614/Life-Reflection/blob/main/docs/work-items/UX-R6-001/P0-UX-R6-001-PRD.md</x:v>
      </x:c>
      <x:c r="R44" s="26" t="str">
        <x:v>https://github.com/arunpr614/Life-Reflection/blob/main/docs/work-items/UX-R6-001/P0-UX-R6-001-TECHNICAL-PLAN.md</x:v>
      </x:c>
      <x:c r="S44" s="26" t="str">
        <x:v>https://github.com/arunpr614/Life-Reflection/blob/main/docs/work-items/UX-R6-001/P0-UX-R6-001-DESIGN-SPEC.md</x:v>
      </x:c>
      <x:c r="T44" s="26" t="str">
        <x:v>https://github.com/arunpr614/Life-Reflection/blob/main/docs/work-items/UX-R6-001/P0-UX-R6-001-QA-PLAN.md</x:v>
      </x:c>
      <x:c r="U44" s="26" t="str">
        <x:v>https://github.com/arunpr614/Life-Reflection/blob/main/docs/work-items/UX-R6-001/P0-UX-R6-001-DELIVERY-CHECKLIST.md</x:v>
      </x:c>
      <x:c r="V44" s="26" t="str">
        <x:v>https://github.com/arunpr614/Life-Reflection/blob/main/docs/work-items/UX-R6-001/P0-UX-R6-001-COUNCIL-READINESS.md</x:v>
      </x:c>
      <x:c r="W44" s="26" t="str">
        <x:v>https://github.com/arunpr614/Life-Reflection/blob/main/docs/council/UX-DESIGN-REVIEW.md</x:v>
      </x:c>
      <x:c r="X44" s="26" t="str">
        <x:v>https://github.com/arunpr614/Life-Reflection/blob/main/docs/architecture/PHASE1-IMPLEMENTATION-PLAN.md</x:v>
      </x:c>
      <x:c r="Y44" s="26" t="str">
        <x:v>Design title/summary/tag/brief review, field protection, stale suggestions, provenance, provider health, budget, and failure states.</x:v>
      </x:c>
      <x:c r="Z44" s="26" t="str">
        <x:v>Approved task-specific design for UX-R6-001 — Text/Provider/Budget States links complete normal/empty/loading/error/interruption/destructive states, responsive behavior, accessibility annotations, prototype dispositions, and Designer sign-off.</x:v>
      </x:c>
      <x:c r="AA44" s="26" t="str">
        <x:v>Planning evidence only; no production data mutation. Any later implementation still needs its own migration, restore, and rollback proof.</x:v>
      </x:c>
      <x:c r="AB44" s="26" t="str">
        <x:v>Move to Done only when the named task evidence exists; prototype or document intent cannot prove implementation or release completion.</x:v>
      </x:c>
      <x:c r="AC44" s="26" t="str">
        <x:v>https://github.com/arunpr614/Life-Reflection/issues/40</x:v>
      </x:c>
    </x:row>
    <x:row r="45" ht="90" customHeight="1">
      <x:c r="A45" s="26" t="str">
        <x:v>ARCH-R6-001</x:v>
      </x:c>
      <x:c r="B45" s="26" t="str">
        <x:v>Text Adapter/Jobs/Budget/Provenance</x:v>
      </x:c>
      <x:c r="C45" s="26" t="str">
        <x:v>Backlog</x:v>
      </x:c>
      <x:c r="D45" s="26" t="str">
        <x:v>Incomplete</x:v>
      </x:c>
      <x:c r="E45" s="26" t="str">
        <x:v>No</x:v>
      </x:c>
      <x:c r="F45" s="26" t="str">
        <x:v>future-evaluation-and-human-approval-gated</x:v>
      </x:c>
      <x:c r="G45" s="26" t="str">
        <x:v>R6</x:v>
      </x:c>
      <x:c r="H45" s="26" t="str">
        <x:v>Architecture</x:v>
      </x:c>
      <x:c r="I45" s="26" t="str">
        <x:v>Technical Architect</x:v>
      </x:c>
      <x:c r="J45" s="26" t="str">
        <x:v>Medium</x:v>
      </x:c>
      <x:c r="K45" s="35" t="n">
        <x:v>46372</x:v>
      </x:c>
      <x:c r="L45" s="35" t="n">
        <x:v>46378</x:v>
      </x:c>
      <x:c r="M45" s="26" t="n">
        <x:f>IF(OR(K45="",L45=""),"",L45-K45+1)</x:f>
        <x:v>7</x:v>
      </x:c>
      <x:c r="N45" s="26" t="str">
        <x:v>LID-AIT-001, LID-AIT-002, LID-AIT-003, LID-AIT-004, LID-AIT-005, LID-AIT-006, LID-AIT-007, LID-REF-006, LID-OPS-011, LID-OPS-017, LID-OPS-018</x:v>
      </x:c>
      <x:c r="O45" s="26" t="str">
        <x:v>PRD-R6-001, EVAL-R6-001, REL-R5-001</x:v>
      </x:c>
      <x:c r="P45" s="26" t="str">
        <x:v>https://github.com/arunpr614/Life-Reflection/blob/main/docs/product/releases/PRD-R6-GENERATED-TEXT-REFLECTION.md</x:v>
      </x:c>
      <x:c r="Q45" s="26" t="str">
        <x:v>https://github.com/arunpr614/Life-Reflection/blob/main/docs/work-items/ARCH-R6-001/P0-ARCH-R6-001-PRD.md</x:v>
      </x:c>
      <x:c r="R45" s="26" t="str">
        <x:v>https://github.com/arunpr614/Life-Reflection/blob/main/docs/work-items/ARCH-R6-001/P0-ARCH-R6-001-TECHNICAL-PLAN.md</x:v>
      </x:c>
      <x:c r="S45" s="26" t="str">
        <x:v>https://github.com/arunpr614/Life-Reflection/blob/main/docs/work-items/ARCH-R6-001/P0-ARCH-R6-001-DESIGN-SPEC.md</x:v>
      </x:c>
      <x:c r="T45" s="26" t="str">
        <x:v>https://github.com/arunpr614/Life-Reflection/blob/main/docs/work-items/ARCH-R6-001/P0-ARCH-R6-001-QA-PLAN.md</x:v>
      </x:c>
      <x:c r="U45" s="26" t="str">
        <x:v>https://github.com/arunpr614/Life-Reflection/blob/main/docs/work-items/ARCH-R6-001/P0-ARCH-R6-001-DELIVERY-CHECKLIST.md</x:v>
      </x:c>
      <x:c r="V45" s="26" t="str">
        <x:v>https://github.com/arunpr614/Life-Reflection/blob/main/docs/work-items/ARCH-R6-001/P0-ARCH-R6-001-COUNCIL-READINESS.md</x:v>
      </x:c>
      <x:c r="W45" s="26" t="str">
        <x:v>https://github.com/arunpr614/Life-Reflection/blob/main/docs/council/UX-DESIGN-REVIEW.md</x:v>
      </x:c>
      <x:c r="X45" s="26" t="str">
        <x:v>https://github.com/arunpr614/Life-Reflection/blob/main/docs/architecture/PHASE1-IMPLEMENTATION-PLAN.md</x:v>
      </x:c>
      <x:c r="Y45" s="26" t="str">
        <x:v>Define typed allowlist serialization, exact adapter configuration, source-race-safe jobs, independent protection, provenance, usage ledger, and restore.</x:v>
      </x:c>
      <x:c r="Z45" s="26" t="str">
        <x:v>Approved task-specific technical plan for ARCH-R6-001 — Text Adapter/Jobs/Budget/Provenance links owned modules, ADRs, threats/data flows, interfaces/data shapes, capacity, migration, restore, rollback, and Architect sign-off.</x:v>
      </x:c>
      <x:c r="AA45" s="26" t="str">
        <x:v>No personal-data mutation is authorized by this task; it must define or prove reversible deployment and recovery before dependent implementation.</x:v>
      </x:c>
      <x:c r="AB45" s="26" t="str">
        <x:v>Move to Done only when the named task evidence exists; prototype or document intent cannot prove implementation or release completion.</x:v>
      </x:c>
      <x:c r="AC45" s="26" t="str">
        <x:v>https://github.com/arunpr614/Life-Reflection/issues/41</x:v>
      </x:c>
    </x:row>
    <x:row r="46" ht="90" customHeight="1">
      <x:c r="A46" s="26" t="str">
        <x:v>ENG-R6-001</x:v>
      </x:c>
      <x:c r="B46" s="26" t="str">
        <x:v>Text Derivation &amp; Protected Fields</x:v>
      </x:c>
      <x:c r="C46" s="26" t="str">
        <x:v>Backlog</x:v>
      </x:c>
      <x:c r="D46" s="26" t="str">
        <x:v>Incomplete</x:v>
      </x:c>
      <x:c r="E46" s="26" t="str">
        <x:v>No</x:v>
      </x:c>
      <x:c r="F46" s="26" t="str">
        <x:v>future-evaluation-and-human-approval-gated</x:v>
      </x:c>
      <x:c r="G46" s="26" t="str">
        <x:v>R6</x:v>
      </x:c>
      <x:c r="H46" s="26" t="str">
        <x:v>Implementation</x:v>
      </x:c>
      <x:c r="I46" s="26" t="str">
        <x:v>Engineering</x:v>
      </x:c>
      <x:c r="J46" s="26" t="str">
        <x:v>Medium</x:v>
      </x:c>
      <x:c r="K46" s="35" t="n">
        <x:v>46377</x:v>
      </x:c>
      <x:c r="L46" s="35" t="n">
        <x:v>46393</x:v>
      </x:c>
      <x:c r="M46" s="26" t="n">
        <x:f>IF(OR(K46="",L46=""),"",L46-K46+1)</x:f>
        <x:v>17</x:v>
      </x:c>
      <x:c r="N46" s="26" t="str">
        <x:v>LID-AIT-001, LID-AIT-002, LID-AIT-003, LID-AIT-004, LID-AIT-005, LID-AIT-006, LID-AIT-007, LID-REF-006, LID-OPS-011, LID-OPS-017, LID-OPS-018</x:v>
      </x:c>
      <x:c r="O46" s="26" t="str">
        <x:v>UX-R6-001, ARCH-R6-001, REL-R5-001</x:v>
      </x:c>
      <x:c r="P46" s="26" t="str">
        <x:v>https://github.com/arunpr614/Life-Reflection/blob/main/docs/product/releases/PRD-R6-GENERATED-TEXT-REFLECTION.md</x:v>
      </x:c>
      <x:c r="Q46" s="26" t="str">
        <x:v>https://github.com/arunpr614/Life-Reflection/blob/main/docs/work-items/ENG-R6-001/P0-ENG-R6-001-PRD.md</x:v>
      </x:c>
      <x:c r="R46" s="26" t="str">
        <x:v>https://github.com/arunpr614/Life-Reflection/blob/main/docs/work-items/ENG-R6-001/P0-ENG-R6-001-TECHNICAL-PLAN.md</x:v>
      </x:c>
      <x:c r="S46" s="26" t="str">
        <x:v>https://github.com/arunpr614/Life-Reflection/blob/main/docs/work-items/ENG-R6-001/P0-ENG-R6-001-DESIGN-SPEC.md</x:v>
      </x:c>
      <x:c r="T46" s="26" t="str">
        <x:v>https://github.com/arunpr614/Life-Reflection/blob/main/docs/work-items/ENG-R6-001/P0-ENG-R6-001-QA-PLAN.md</x:v>
      </x:c>
      <x:c r="U46" s="26" t="str">
        <x:v>https://github.com/arunpr614/Life-Reflection/blob/main/docs/work-items/ENG-R6-001/P0-ENG-R6-001-DELIVERY-CHECKLIST.md</x:v>
      </x:c>
      <x:c r="V46" s="26" t="str">
        <x:v>https://github.com/arunpr614/Life-Reflection/blob/main/docs/work-items/ENG-R6-001/P0-ENG-R6-001-COUNCIL-READINESS.md</x:v>
      </x:c>
      <x:c r="W46" s="26" t="str">
        <x:v>https://github.com/arunpr614/Life-Reflection/blob/main/docs/council/UX-DESIGN-REVIEW.md</x:v>
      </x:c>
      <x:c r="X46" s="26" t="str">
        <x:v>https://github.com/arunpr614/Life-Reflection/blob/main/docs/architecture/PHASE1-IMPLEMENTATION-PLAN.md</x:v>
      </x:c>
      <x:c r="Y46" s="26" t="str">
        <x:v>Implement evaluated title/summary/tag/Visual Brief derivation, quiet/final refresh, field protection, version choice, provenance, and budget enforcement.</x:v>
      </x:c>
      <x:c r="Z46" s="26" t="str">
        <x:v>Merged implementation for ENG-R6-001 — Text Derivation &amp; Protected Fields proves “Implement evaluated title/summary/tag/Visual Brief derivation, quiet/final refresh, field protection, version choice, provenance, and budget enforcement.” with task-specific tests, immutable build/SBOM, migrations, sanitized deployment evidence when authorized, separate-path restore, rollback, and no-regression results.</x:v>
      </x:c>
      <x:c r="AA46" s="26" t="str">
        <x:v>Adds derived-text versions, protection, provenance, job, and usage-ledger state; migration must be reversible and backup/restore coverage must pass before release acceptance.</x:v>
      </x:c>
      <x:c r="AB46" s="26" t="str">
        <x:v>Move to Done only when the named task evidence exists; prototype or document intent cannot prove implementation or release completion.</x:v>
      </x:c>
      <x:c r="AC46" s="26" t="str">
        <x:v>https://github.com/arunpr614/Life-Reflection/issues/42</x:v>
      </x:c>
    </x:row>
    <x:row r="47" ht="90" customHeight="1">
      <x:c r="A47" s="26" t="str">
        <x:v>REL-R6-001</x:v>
      </x:c>
      <x:c r="B47" s="26" t="str">
        <x:v>Text Privacy/Quality/Restore Acceptance</x:v>
      </x:c>
      <x:c r="C47" s="26" t="str">
        <x:v>Backlog</x:v>
      </x:c>
      <x:c r="D47" s="26" t="str">
        <x:v>Incomplete</x:v>
      </x:c>
      <x:c r="E47" s="26" t="str">
        <x:v>No</x:v>
      </x:c>
      <x:c r="F47" s="26" t="str">
        <x:v>future-evaluation-and-human-approval-gated</x:v>
      </x:c>
      <x:c r="G47" s="26" t="str">
        <x:v>R6</x:v>
      </x:c>
      <x:c r="H47" s="26" t="str">
        <x:v>Release acceptance</x:v>
      </x:c>
      <x:c r="I47" s="26" t="str">
        <x:v>Project Manager + Independent QA</x:v>
      </x:c>
      <x:c r="J47" s="26" t="str">
        <x:v>Medium</x:v>
      </x:c>
      <x:c r="K47" s="35" t="n">
        <x:v>46394</x:v>
      </x:c>
      <x:c r="L47" s="35" t="n">
        <x:v>46395</x:v>
      </x:c>
      <x:c r="M47" s="26" t="n">
        <x:f>IF(OR(K47="",L47=""),"",L47-K47+1)</x:f>
        <x:v>2</x:v>
      </x:c>
      <x:c r="N47" s="26" t="str">
        <x:v>LID-AIT-001, LID-AIT-002, LID-AIT-003, LID-AIT-004, LID-AIT-005, LID-AIT-006, LID-AIT-007, LID-REF-006, LID-OPS-011, LID-OPS-017, LID-OPS-018</x:v>
      </x:c>
      <x:c r="O47" s="26" t="str">
        <x:v>ENG-R6-001</x:v>
      </x:c>
      <x:c r="P47" s="26" t="str">
        <x:v>https://github.com/arunpr614/Life-Reflection/blob/main/docs/product/releases/PRD-R6-GENERATED-TEXT-REFLECTION.md</x:v>
      </x:c>
      <x:c r="Q47" s="26" t="str">
        <x:v>https://github.com/arunpr614/Life-Reflection/blob/main/docs/work-items/REL-R6-001/P0-REL-R6-001-PRD.md</x:v>
      </x:c>
      <x:c r="R47" s="26" t="str">
        <x:v>https://github.com/arunpr614/Life-Reflection/blob/main/docs/work-items/REL-R6-001/P0-REL-R6-001-TECHNICAL-PLAN.md</x:v>
      </x:c>
      <x:c r="S47" s="26" t="str">
        <x:v>https://github.com/arunpr614/Life-Reflection/blob/main/docs/work-items/REL-R6-001/P0-REL-R6-001-DESIGN-SPEC.md</x:v>
      </x:c>
      <x:c r="T47" s="26" t="str">
        <x:v>https://github.com/arunpr614/Life-Reflection/blob/main/docs/work-items/REL-R6-001/P0-REL-R6-001-QA-PLAN.md</x:v>
      </x:c>
      <x:c r="U47" s="26" t="str">
        <x:v>https://github.com/arunpr614/Life-Reflection/blob/main/docs/work-items/REL-R6-001/P0-REL-R6-001-DELIVERY-CHECKLIST.md</x:v>
      </x:c>
      <x:c r="V47" s="26" t="str">
        <x:v>https://github.com/arunpr614/Life-Reflection/blob/main/docs/work-items/REL-R6-001/P0-REL-R6-001-COUNCIL-READINESS.md</x:v>
      </x:c>
      <x:c r="W47" s="26" t="str">
        <x:v>https://github.com/arunpr614/Life-Reflection/blob/main/docs/council/UX-DESIGN-REVIEW.md</x:v>
      </x:c>
      <x:c r="X47" s="26" t="str">
        <x:v>https://github.com/arunpr614/Life-Reflection/blob/main/docs/architecture/PHASE1-IMPLEMENTATION-PLAN.md</x:v>
      </x:c>
      <x:c r="Y47" s="26" t="str">
        <x:v>Verify hard-gate model quality, photo/caption exclusion, source races, protected fields, failures, monthly ceiling, derived restore, and rollback.</x:v>
      </x:c>
      <x:c r="Z47" s="26" t="str">
        <x:v>Release acceptance for REL-R6-001 — Text Privacy/Quality/Restore Acceptance links independent QA, five-seat review, every task-specific dossier, backup/separate-path restore for each new shape, rollback, defect gate, and proceed/hold/rollback record; a human attestation is included only for a named non-delegable act.</x:v>
      </x:c>
      <x:c r="AA47" s="26" t="str">
        <x:v>Validates rollback and restore for every persistent shape introduced by the milestone; acceptance never substitutes a successful backup upload for restore evidence.</x:v>
      </x:c>
      <x:c r="AB47" s="26" t="str">
        <x:v>Move to Done only when the named task evidence exists; prototype or document intent cannot prove implementation or release completion.</x:v>
      </x:c>
      <x:c r="AC47" s="26" t="str">
        <x:v>https://github.com/arunpr614/Life-Reflection/issues/43</x:v>
      </x:c>
    </x:row>
    <x:row r="48" ht="90" customHeight="1">
      <x:c r="A48" s="26" t="str">
        <x:v>EVAL-R7-001</x:v>
      </x:c>
      <x:c r="B48" s="26" t="str">
        <x:v>Artwork Model Evaluation</x:v>
      </x:c>
      <x:c r="C48" s="26" t="str">
        <x:v>Backlog</x:v>
      </x:c>
      <x:c r="D48" s="26" t="str">
        <x:v>Incomplete</x:v>
      </x:c>
      <x:c r="E48" s="26" t="str">
        <x:v>No</x:v>
      </x:c>
      <x:c r="F48" s="26" t="str">
        <x:v>future-evaluation-and-human-approval-gated</x:v>
      </x:c>
      <x:c r="G48" s="26" t="str">
        <x:v>R7</x:v>
      </x:c>
      <x:c r="H48" s="26" t="str">
        <x:v>Evaluation</x:v>
      </x:c>
      <x:c r="I48" s="26" t="str">
        <x:v>Product Manager + Technical Architect</x:v>
      </x:c>
      <x:c r="J48" s="26" t="str">
        <x:v>Medium</x:v>
      </x:c>
      <x:c r="K48" s="35" t="n">
        <x:v>46398</x:v>
      </x:c>
      <x:c r="L48" s="35" t="n">
        <x:v>46400</x:v>
      </x:c>
      <x:c r="M48" s="26" t="n">
        <x:f>IF(OR(K48="",L48=""),"",L48-K48+1)</x:f>
        <x:v>3</x:v>
      </x:c>
      <x:c r="N48" s="26" t="str">
        <x:v>LID-AIA-001, LID-AIA-003, LID-AIA-005, LID-AIA-006, LID-AIA-011, LID-OPS-017</x:v>
      </x:c>
      <x:c r="O48" s="26" t="str">
        <x:v>REL-R6-001</x:v>
      </x:c>
      <x:c r="P48" s="26" t="str">
        <x:v>https://github.com/arunpr614/Life-Reflection/blob/main/docs/product/releases/PRD-R7-GENERATED-ARTWORK.md</x:v>
      </x:c>
      <x:c r="Q48" s="26" t="str">
        <x:v>https://github.com/arunpr614/Life-Reflection/blob/main/docs/work-items/EVAL-R7-001/P0-EVAL-R7-001-PRD.md</x:v>
      </x:c>
      <x:c r="R48" s="26" t="str">
        <x:v>https://github.com/arunpr614/Life-Reflection/blob/main/docs/work-items/EVAL-R7-001/P0-EVAL-R7-001-TECHNICAL-PLAN.md</x:v>
      </x:c>
      <x:c r="S48" s="26" t="str">
        <x:v>https://github.com/arunpr614/Life-Reflection/blob/main/docs/work-items/EVAL-R7-001/P0-EVAL-R7-001-DESIGN-SPEC.md</x:v>
      </x:c>
      <x:c r="T48" s="26" t="str">
        <x:v>https://github.com/arunpr614/Life-Reflection/blob/main/docs/work-items/EVAL-R7-001/P0-EVAL-R7-001-QA-PLAN.md</x:v>
      </x:c>
      <x:c r="U48" s="26" t="str">
        <x:v>https://github.com/arunpr614/Life-Reflection/blob/main/docs/work-items/EVAL-R7-001/P0-EVAL-R7-001-DELIVERY-CHECKLIST.md</x:v>
      </x:c>
      <x:c r="V48" s="26" t="str">
        <x:v>https://github.com/arunpr614/Life-Reflection/blob/main/docs/work-items/EVAL-R7-001/P0-EVAL-R7-001-COUNCIL-READINESS.md</x:v>
      </x:c>
      <x:c r="W48" s="26" t="str">
        <x:v>https://github.com/arunpr614/Life-Reflection/blob/main/docs/council/UX-DESIGN-REVIEW.md</x:v>
      </x:c>
      <x:c r="X48" s="26" t="str">
        <x:v>https://github.com/arunpr614/Life-Reflection/blob/main/docs/architecture/PHASE1-IMPLEMENTATION-PLAN.md</x:v>
      </x:c>
      <x:c r="Y48" s="26" t="str">
        <x:v>Evaluate exact artwork provider/model configurations against non-photorealism, safety, quality, latency, cost, and automatic-sweep eligibility gates.</x:v>
      </x:c>
      <x:c r="Z48" s="26" t="str">
        <x:v>Signed task-specific evaluation for EVAL-R7-001 — Artwork Model Evaluation records frozen fixtures/protocol, exact provider/model snapshots, hard-gate outcomes, measured cost/latency, privacy checks, and council decision.</x:v>
      </x:c>
      <x:c r="AA48" s="26" t="str">
        <x:v>Planning evidence only; no production data mutation. Any later implementation still needs its own migration, restore, and rollback proof.</x:v>
      </x:c>
      <x:c r="AB48" s="26" t="str">
        <x:v>Move to Done only when the named task evidence exists; prototype or document intent cannot prove implementation or release completion.</x:v>
      </x:c>
      <x:c r="AC48" s="26" t="str">
        <x:v>https://github.com/arunpr614/Life-Reflection/issues/44</x:v>
      </x:c>
    </x:row>
    <x:row r="49" ht="90" customHeight="1">
      <x:c r="A49" s="26" t="str">
        <x:v>PRD-R7-001</x:v>
      </x:c>
      <x:c r="B49" s="26" t="str">
        <x:v>Artwork PRD</x:v>
      </x:c>
      <x:c r="C49" s="26" t="str">
        <x:v>Done</x:v>
      </x:c>
      <x:c r="D49" s="26" t="str">
        <x:v>Incomplete</x:v>
      </x:c>
      <x:c r="E49" s="26" t="str">
        <x:v>No</x:v>
      </x:c>
      <x:c r="F49" s="26" t="str">
        <x:v>planning-only-historical</x:v>
      </x:c>
      <x:c r="G49" s="26" t="str">
        <x:v>R7</x:v>
      </x:c>
      <x:c r="H49" s="26" t="str">
        <x:v>Product definition</x:v>
      </x:c>
      <x:c r="I49" s="26" t="str">
        <x:v>Product Manager</x:v>
      </x:c>
      <x:c r="J49" s="26" t="str">
        <x:v>Medium</x:v>
      </x:c>
      <x:c r="K49" s="35" t="n">
        <x:v>46398</x:v>
      </x:c>
      <x:c r="L49" s="35" t="n">
        <x:v>46400</x:v>
      </x:c>
      <x:c r="M49" s="26" t="n">
        <x:f>IF(OR(K49="",L49=""),"",L49-K49+1)</x:f>
        <x:v>3</x:v>
      </x:c>
      <x:c r="N49" s="26" t="str">
        <x:v>LID-AIA-001, LID-AIA-002, LID-AIA-003, LID-AIA-004, LID-AIA-005, LID-AIA-006, LID-AIA-007, LID-AIA-008, LID-AIA-009, LID-AIA-010, LID-AIA-011, LID-REF-006, LID-OPS-011, LID-OPS-017, LID-OPS-018</x:v>
      </x:c>
      <x:c r="O49" s="26" t="str">
        <x:v>PC-001</x:v>
      </x:c>
      <x:c r="P49" s="26" t="str">
        <x:v>https://github.com/arunpr614/Life-Reflection/blob/main/docs/product/releases/PRD-R7-GENERATED-ARTWORK.md</x:v>
      </x:c>
      <x:c r="Q49" s="26" t="str">
        <x:v>https://github.com/arunpr614/Life-Reflection/blob/main/docs/work-items/PRD-R7-001/P0-PRD-R7-001-PRD.md</x:v>
      </x:c>
      <x:c r="R49" s="26" t="str">
        <x:v>https://github.com/arunpr614/Life-Reflection/blob/main/docs/work-items/PRD-R7-001/P0-PRD-R7-001-TECHNICAL-PLAN.md</x:v>
      </x:c>
      <x:c r="S49" s="26" t="str">
        <x:v>https://github.com/arunpr614/Life-Reflection/blob/main/docs/work-items/PRD-R7-001/P0-PRD-R7-001-DESIGN-SPEC.md</x:v>
      </x:c>
      <x:c r="T49" s="26" t="str">
        <x:v>https://github.com/arunpr614/Life-Reflection/blob/main/docs/work-items/PRD-R7-001/P0-PRD-R7-001-QA-PLAN.md</x:v>
      </x:c>
      <x:c r="U49" s="26" t="str">
        <x:v>https://github.com/arunpr614/Life-Reflection/blob/main/docs/work-items/PRD-R7-001/P0-PRD-R7-001-DELIVERY-CHECKLIST.md</x:v>
      </x:c>
      <x:c r="V49" s="26" t="str">
        <x:v>https://github.com/arunpr614/Life-Reflection/blob/main/docs/work-items/PRD-R7-001/P0-PRD-R7-001-COUNCIL-READINESS.md</x:v>
      </x:c>
      <x:c r="W49" s="26" t="str">
        <x:v>https://github.com/arunpr614/Life-Reflection/blob/main/docs/council/UX-DESIGN-REVIEW.md</x:v>
      </x:c>
      <x:c r="X49" s="26" t="str">
        <x:v>https://github.com/arunpr614/Life-Reflection/blob/main/docs/architecture/PHASE1-IMPLEMENTATION-PLAN.md</x:v>
      </x:c>
      <x:c r="Y49" s="26" t="str">
        <x:v>Define evaluated Visual Brief, manual/sweep generation, safety/failure, labeling, versions, cover precedence, suppression, and configuration.</x:v>
      </x:c>
      <x:c r="Z49" s="26" t="str">
        <x:v>Release document docs/product/releases/PRD-R7-GENERATED-ARTWORK.md exists, passes link/requirement validation, and separates council-delegated evidence gates from specifically named non-delegable human acts.</x:v>
      </x:c>
      <x:c r="AA49" s="26" t="str">
        <x:v>Planning evidence only; no production data mutation. Any later implementation still needs its own migration, restore, and rollback proof.</x:v>
      </x:c>
      <x:c r="AB49" s="26" t="str">
        <x:v>This planning artifact is complete; it does not claim feature implementation, deployment, production readiness, or release acceptance.</x:v>
      </x:c>
      <x:c r="AC49" s="26" t="str">
        <x:v>https://github.com/arunpr614/Life-Reflection/issues/45</x:v>
      </x:c>
    </x:row>
    <x:row r="50" ht="90" customHeight="1">
      <x:c r="A50" s="26" t="str">
        <x:v>UX-R7-001</x:v>
      </x:c>
      <x:c r="B50" s="26" t="str">
        <x:v>Artwork/Version/Suppression Designs</x:v>
      </x:c>
      <x:c r="C50" s="26" t="str">
        <x:v>Backlog</x:v>
      </x:c>
      <x:c r="D50" s="26" t="str">
        <x:v>Incomplete</x:v>
      </x:c>
      <x:c r="E50" s="26" t="str">
        <x:v>No</x:v>
      </x:c>
      <x:c r="F50" s="26" t="str">
        <x:v>future-evaluation-and-human-approval-gated</x:v>
      </x:c>
      <x:c r="G50" s="26" t="str">
        <x:v>R7</x:v>
      </x:c>
      <x:c r="H50" s="26" t="str">
        <x:v>Design</x:v>
      </x:c>
      <x:c r="I50" s="26" t="str">
        <x:v>UI/UX Designer</x:v>
      </x:c>
      <x:c r="J50" s="26" t="str">
        <x:v>Medium</x:v>
      </x:c>
      <x:c r="K50" s="35" t="n">
        <x:v>46399</x:v>
      </x:c>
      <x:c r="L50" s="35" t="n">
        <x:v>46402</x:v>
      </x:c>
      <x:c r="M50" s="26" t="n">
        <x:f>IF(OR(K50="",L50=""),"",L50-K50+1)</x:f>
        <x:v>4</x:v>
      </x:c>
      <x:c r="N50" s="26" t="str">
        <x:v>LID-AIA-002, LID-AIA-003, LID-AIA-005, LID-AIA-006, LID-AIA-007, LID-AIA-008, LID-AIA-009, LID-AIA-010, LID-REF-006, LID-OPS-017</x:v>
      </x:c>
      <x:c r="O50" s="26" t="str">
        <x:v>PRD-R7-001, EVAL-R7-001</x:v>
      </x:c>
      <x:c r="P50" s="26" t="str">
        <x:v>https://github.com/arunpr614/Life-Reflection/blob/main/docs/product/releases/PRD-R7-GENERATED-ARTWORK.md</x:v>
      </x:c>
      <x:c r="Q50" s="26" t="str">
        <x:v>https://github.com/arunpr614/Life-Reflection/blob/main/docs/work-items/UX-R7-001/P0-UX-R7-001-PRD.md</x:v>
      </x:c>
      <x:c r="R50" s="26" t="str">
        <x:v>https://github.com/arunpr614/Life-Reflection/blob/main/docs/work-items/UX-R7-001/P0-UX-R7-001-TECHNICAL-PLAN.md</x:v>
      </x:c>
      <x:c r="S50" s="26" t="str">
        <x:v>https://github.com/arunpr614/Life-Reflection/blob/main/docs/work-items/UX-R7-001/P0-UX-R7-001-DESIGN-SPEC.md</x:v>
      </x:c>
      <x:c r="T50" s="26" t="str">
        <x:v>https://github.com/arunpr614/Life-Reflection/blob/main/docs/work-items/UX-R7-001/P0-UX-R7-001-QA-PLAN.md</x:v>
      </x:c>
      <x:c r="U50" s="26" t="str">
        <x:v>https://github.com/arunpr614/Life-Reflection/blob/main/docs/work-items/UX-R7-001/P0-UX-R7-001-DELIVERY-CHECKLIST.md</x:v>
      </x:c>
      <x:c r="V50" s="26" t="str">
        <x:v>https://github.com/arunpr614/Life-Reflection/blob/main/docs/work-items/UX-R7-001/P0-UX-R7-001-COUNCIL-READINESS.md</x:v>
      </x:c>
      <x:c r="W50" s="26" t="str">
        <x:v>https://github.com/arunpr614/Life-Reflection/blob/main/docs/council/UX-DESIGN-REVIEW.md</x:v>
      </x:c>
      <x:c r="X50" s="26" t="str">
        <x:v>https://github.com/arunpr614/Life-Reflection/blob/main/docs/architecture/PHASE1-IMPLEMENTATION-PLAN.md</x:v>
      </x:c>
      <x:c r="Y50" s="26" t="str">
        <x:v>Design preflight, meaningful-word, safety/failure, persistent label, versions, stale, suppression, and real-photo-cover states.</x:v>
      </x:c>
      <x:c r="Z50" s="26" t="str">
        <x:v>Approved task-specific design for UX-R7-001 — Artwork/Version/Suppression Designs links complete normal/empty/loading/error/interruption/destructive states, responsive behavior, accessibility annotations, prototype dispositions, and Designer sign-off.</x:v>
      </x:c>
      <x:c r="AA50" s="26" t="str">
        <x:v>Planning evidence only; no production data mutation. Any later implementation still needs its own migration, restore, and rollback proof.</x:v>
      </x:c>
      <x:c r="AB50" s="26" t="str">
        <x:v>Move to Done only when the named task evidence exists; prototype or document intent cannot prove implementation or release completion.</x:v>
      </x:c>
      <x:c r="AC50" s="26" t="str">
        <x:v>https://github.com/arunpr614/Life-Reflection/issues/46</x:v>
      </x:c>
    </x:row>
    <x:row r="51" ht="90" customHeight="1">
      <x:c r="A51" s="26" t="str">
        <x:v>ARCH-R7-001</x:v>
      </x:c>
      <x:c r="B51" s="26" t="str">
        <x:v>Artwork Adapter/Sweep/Budget/Provenance</x:v>
      </x:c>
      <x:c r="C51" s="26" t="str">
        <x:v>Backlog</x:v>
      </x:c>
      <x:c r="D51" s="26" t="str">
        <x:v>Incomplete</x:v>
      </x:c>
      <x:c r="E51" s="26" t="str">
        <x:v>No</x:v>
      </x:c>
      <x:c r="F51" s="26" t="str">
        <x:v>future-evaluation-and-human-approval-gated</x:v>
      </x:c>
      <x:c r="G51" s="26" t="str">
        <x:v>R7</x:v>
      </x:c>
      <x:c r="H51" s="26" t="str">
        <x:v>Architecture</x:v>
      </x:c>
      <x:c r="I51" s="26" t="str">
        <x:v>Technical Architect</x:v>
      </x:c>
      <x:c r="J51" s="26" t="str">
        <x:v>Medium</x:v>
      </x:c>
      <x:c r="K51" s="35" t="n">
        <x:v>46399</x:v>
      </x:c>
      <x:c r="L51" s="35" t="n">
        <x:v>46402</x:v>
      </x:c>
      <x:c r="M51" s="26" t="n">
        <x:f>IF(OR(K51="",L51=""),"",L51-K51+1)</x:f>
        <x:v>4</x:v>
      </x:c>
      <x:c r="N51" s="26" t="str">
        <x:v>LID-AIA-001, LID-AIA-002, LID-AIA-003, LID-AIA-004, LID-AIA-005, LID-AIA-006, LID-AIA-007, LID-AIA-008, LID-AIA-009, LID-AIA-010, LID-AIA-011, LID-REF-006, LID-OPS-011, LID-OPS-017, LID-OPS-018</x:v>
      </x:c>
      <x:c r="O51" s="26" t="str">
        <x:v>PRD-R7-001, EVAL-R7-001, REL-R6-001</x:v>
      </x:c>
      <x:c r="P51" s="26" t="str">
        <x:v>https://github.com/arunpr614/Life-Reflection/blob/main/docs/product/releases/PRD-R7-GENERATED-ARTWORK.md</x:v>
      </x:c>
      <x:c r="Q51" s="26" t="str">
        <x:v>https://github.com/arunpr614/Life-Reflection/blob/main/docs/work-items/ARCH-R7-001/P0-ARCH-R7-001-PRD.md</x:v>
      </x:c>
      <x:c r="R51" s="26" t="str">
        <x:v>https://github.com/arunpr614/Life-Reflection/blob/main/docs/work-items/ARCH-R7-001/P0-ARCH-R7-001-TECHNICAL-PLAN.md</x:v>
      </x:c>
      <x:c r="S51" s="26" t="str">
        <x:v>https://github.com/arunpr614/Life-Reflection/blob/main/docs/work-items/ARCH-R7-001/P0-ARCH-R7-001-DESIGN-SPEC.md</x:v>
      </x:c>
      <x:c r="T51" s="26" t="str">
        <x:v>https://github.com/arunpr614/Life-Reflection/blob/main/docs/work-items/ARCH-R7-001/P0-ARCH-R7-001-QA-PLAN.md</x:v>
      </x:c>
      <x:c r="U51" s="26" t="str">
        <x:v>https://github.com/arunpr614/Life-Reflection/blob/main/docs/work-items/ARCH-R7-001/P0-ARCH-R7-001-DELIVERY-CHECKLIST.md</x:v>
      </x:c>
      <x:c r="V51" s="26" t="str">
        <x:v>https://github.com/arunpr614/Life-Reflection/blob/main/docs/work-items/ARCH-R7-001/P0-ARCH-R7-001-COUNCIL-READINESS.md</x:v>
      </x:c>
      <x:c r="W51" s="26" t="str">
        <x:v>https://github.com/arunpr614/Life-Reflection/blob/main/docs/council/UX-DESIGN-REVIEW.md</x:v>
      </x:c>
      <x:c r="X51" s="26" t="str">
        <x:v>https://github.com/arunpr614/Life-Reflection/blob/main/docs/architecture/PHASE1-IMPLEMENTATION-PLAN.md</x:v>
      </x:c>
      <x:c r="Y51" s="26" t="str">
        <x:v>Define exact adapter/configuration, preflight, idempotent sweep, artifact lifecycle, provenance, budget reservation, suppression, and restore.</x:v>
      </x:c>
      <x:c r="Z51" s="26" t="str">
        <x:v>Approved task-specific technical plan for ARCH-R7-001 — Artwork Adapter/Sweep/Budget/Provenance links owned modules, ADRs, threats/data flows, interfaces/data shapes, capacity, migration, restore, rollback, and Architect sign-off.</x:v>
      </x:c>
      <x:c r="AA51" s="26" t="str">
        <x:v>No personal-data mutation is authorized by this task; it must define or prove reversible deployment and recovery before dependent implementation.</x:v>
      </x:c>
      <x:c r="AB51" s="26" t="str">
        <x:v>Move to Done only when the named task evidence exists; prototype or document intent cannot prove implementation or release completion.</x:v>
      </x:c>
      <x:c r="AC51" s="26" t="str">
        <x:v>https://github.com/arunpr614/Life-Reflection/issues/47</x:v>
      </x:c>
    </x:row>
    <x:row r="52" ht="90" customHeight="1">
      <x:c r="A52" s="26" t="str">
        <x:v>ENG-R7-001</x:v>
      </x:c>
      <x:c r="B52" s="26" t="str">
        <x:v>Manual &amp; Sweep Artwork Lifecycle</x:v>
      </x:c>
      <x:c r="C52" s="26" t="str">
        <x:v>Backlog</x:v>
      </x:c>
      <x:c r="D52" s="26" t="str">
        <x:v>Incomplete</x:v>
      </x:c>
      <x:c r="E52" s="26" t="str">
        <x:v>No</x:v>
      </x:c>
      <x:c r="F52" s="26" t="str">
        <x:v>future-evaluation-and-human-approval-gated</x:v>
      </x:c>
      <x:c r="G52" s="26" t="str">
        <x:v>R7</x:v>
      </x:c>
      <x:c r="H52" s="26" t="str">
        <x:v>Implementation</x:v>
      </x:c>
      <x:c r="I52" s="26" t="str">
        <x:v>Engineering</x:v>
      </x:c>
      <x:c r="J52" s="26" t="str">
        <x:v>Medium</x:v>
      </x:c>
      <x:c r="K52" s="35" t="n">
        <x:v>46401</x:v>
      </x:c>
      <x:c r="L52" s="35" t="n">
        <x:v>46414</x:v>
      </x:c>
      <x:c r="M52" s="26" t="n">
        <x:f>IF(OR(K52="",L52=""),"",L52-K52+1)</x:f>
        <x:v>14</x:v>
      </x:c>
      <x:c r="N52" s="26" t="str">
        <x:v>LID-AIA-001, LID-AIA-002, LID-AIA-003, LID-AIA-004, LID-AIA-005, LID-AIA-006, LID-AIA-007, LID-AIA-008, LID-AIA-009, LID-AIA-010, LID-AIA-011, LID-REF-006, LID-OPS-011, LID-OPS-017, LID-OPS-018</x:v>
      </x:c>
      <x:c r="O52" s="26" t="str">
        <x:v>UX-R7-001, ARCH-R7-001, REL-R6-001</x:v>
      </x:c>
      <x:c r="P52" s="26" t="str">
        <x:v>https://github.com/arunpr614/Life-Reflection/blob/main/docs/product/releases/PRD-R7-GENERATED-ARTWORK.md</x:v>
      </x:c>
      <x:c r="Q52" s="26" t="str">
        <x:v>https://github.com/arunpr614/Life-Reflection/blob/main/docs/work-items/ENG-R7-001/P0-ENG-R7-001-PRD.md</x:v>
      </x:c>
      <x:c r="R52" s="26" t="str">
        <x:v>https://github.com/arunpr614/Life-Reflection/blob/main/docs/work-items/ENG-R7-001/P0-ENG-R7-001-TECHNICAL-PLAN.md</x:v>
      </x:c>
      <x:c r="S52" s="26" t="str">
        <x:v>https://github.com/arunpr614/Life-Reflection/blob/main/docs/work-items/ENG-R7-001/P0-ENG-R7-001-DESIGN-SPEC.md</x:v>
      </x:c>
      <x:c r="T52" s="26" t="str">
        <x:v>https://github.com/arunpr614/Life-Reflection/blob/main/docs/work-items/ENG-R7-001/P0-ENG-R7-001-QA-PLAN.md</x:v>
      </x:c>
      <x:c r="U52" s="26" t="str">
        <x:v>https://github.com/arunpr614/Life-Reflection/blob/main/docs/work-items/ENG-R7-001/P0-ENG-R7-001-DELIVERY-CHECKLIST.md</x:v>
      </x:c>
      <x:c r="V52" s="26" t="str">
        <x:v>https://github.com/arunpr614/Life-Reflection/blob/main/docs/work-items/ENG-R7-001/P0-ENG-R7-001-COUNCIL-READINESS.md</x:v>
      </x:c>
      <x:c r="W52" s="26" t="str">
        <x:v>https://github.com/arunpr614/Life-Reflection/blob/main/docs/council/UX-DESIGN-REVIEW.md</x:v>
      </x:c>
      <x:c r="X52" s="26" t="str">
        <x:v>https://github.com/arunpr614/Life-Reflection/blob/main/docs/architecture/PHASE1-IMPLEMENTATION-PLAN.md</x:v>
      </x:c>
      <x:c r="Y52" s="26" t="str">
        <x:v>Implement evaluated explicit/sweep generation, versions, labeling, stale state, suppression, cover precedence, failures, and spend control.</x:v>
      </x:c>
      <x:c r="Z52" s="26" t="str">
        <x:v>Merged implementation for ENG-R7-001 — Manual &amp; Sweep Artwork Lifecycle proves “Implement evaluated explicit/sweep generation, versions, labeling, stale state, suppression, cover precedence, failures, and spend control.” with task-specific tests, immutable build/SBOM, migrations, sanitized deployment evidence when authorized, separate-path restore, rollback, and no-regression results.</x:v>
      </x:c>
      <x:c r="AA52" s="26" t="str">
        <x:v>Adds artwork versions, job, provenance, suppression, and cover-selection state; migration must be reversible and backup/restore coverage must pass before release acceptance.</x:v>
      </x:c>
      <x:c r="AB52" s="26" t="str">
        <x:v>Move to Done only when the named task evidence exists; prototype or document intent cannot prove implementation or release completion.</x:v>
      </x:c>
      <x:c r="AC52" s="26" t="str">
        <x:v>https://github.com/arunpr614/Life-Reflection/issues/48</x:v>
      </x:c>
    </x:row>
    <x:row r="53" ht="90" customHeight="1">
      <x:c r="A53" s="26" t="str">
        <x:v>REL-R7-001</x:v>
      </x:c>
      <x:c r="B53" s="26" t="str">
        <x:v>Artwork Privacy/Cover/Restore Acceptance</x:v>
      </x:c>
      <x:c r="C53" s="26" t="str">
        <x:v>Backlog</x:v>
      </x:c>
      <x:c r="D53" s="26" t="str">
        <x:v>Incomplete</x:v>
      </x:c>
      <x:c r="E53" s="26" t="str">
        <x:v>No</x:v>
      </x:c>
      <x:c r="F53" s="26" t="str">
        <x:v>future-evaluation-and-human-approval-gated</x:v>
      </x:c>
      <x:c r="G53" s="26" t="str">
        <x:v>R7</x:v>
      </x:c>
      <x:c r="H53" s="26" t="str">
        <x:v>Release acceptance</x:v>
      </x:c>
      <x:c r="I53" s="26" t="str">
        <x:v>Project Manager + Independent QA</x:v>
      </x:c>
      <x:c r="J53" s="26" t="str">
        <x:v>Medium</x:v>
      </x:c>
      <x:c r="K53" s="35" t="n">
        <x:v>46415</x:v>
      </x:c>
      <x:c r="L53" s="35" t="n">
        <x:v>46416</x:v>
      </x:c>
      <x:c r="M53" s="26" t="n">
        <x:f>IF(OR(K53="",L53=""),"",L53-K53+1)</x:f>
        <x:v>2</x:v>
      </x:c>
      <x:c r="N53" s="26" t="str">
        <x:v>LID-AIA-001, LID-AIA-002, LID-AIA-003, LID-AIA-004, LID-AIA-005, LID-AIA-006, LID-AIA-007, LID-AIA-008, LID-AIA-009, LID-AIA-010, LID-AIA-011, LID-REF-006, LID-OPS-011, LID-OPS-017, LID-OPS-018</x:v>
      </x:c>
      <x:c r="O53" s="26" t="str">
        <x:v>ENG-R7-001</x:v>
      </x:c>
      <x:c r="P53" s="26" t="str">
        <x:v>https://github.com/arunpr614/Life-Reflection/blob/main/docs/product/releases/PRD-R7-GENERATED-ARTWORK.md</x:v>
      </x:c>
      <x:c r="Q53" s="26" t="str">
        <x:v>https://github.com/arunpr614/Life-Reflection/blob/main/docs/work-items/REL-R7-001/P0-REL-R7-001-PRD.md</x:v>
      </x:c>
      <x:c r="R53" s="26" t="str">
        <x:v>https://github.com/arunpr614/Life-Reflection/blob/main/docs/work-items/REL-R7-001/P0-REL-R7-001-TECHNICAL-PLAN.md</x:v>
      </x:c>
      <x:c r="S53" s="26" t="str">
        <x:v>https://github.com/arunpr614/Life-Reflection/blob/main/docs/work-items/REL-R7-001/P0-REL-R7-001-DESIGN-SPEC.md</x:v>
      </x:c>
      <x:c r="T53" s="26" t="str">
        <x:v>https://github.com/arunpr614/Life-Reflection/blob/main/docs/work-items/REL-R7-001/P0-REL-R7-001-QA-PLAN.md</x:v>
      </x:c>
      <x:c r="U53" s="26" t="str">
        <x:v>https://github.com/arunpr614/Life-Reflection/blob/main/docs/work-items/REL-R7-001/P0-REL-R7-001-DELIVERY-CHECKLIST.md</x:v>
      </x:c>
      <x:c r="V53" s="26" t="str">
        <x:v>https://github.com/arunpr614/Life-Reflection/blob/main/docs/work-items/REL-R7-001/P0-REL-R7-001-COUNCIL-READINESS.md</x:v>
      </x:c>
      <x:c r="W53" s="26" t="str">
        <x:v>https://github.com/arunpr614/Life-Reflection/blob/main/docs/council/UX-DESIGN-REVIEW.md</x:v>
      </x:c>
      <x:c r="X53" s="26" t="str">
        <x:v>https://github.com/arunpr614/Life-Reflection/blob/main/docs/architecture/PHASE1-IMPLEMENTATION-PLAN.md</x:v>
      </x:c>
      <x:c r="Y53" s="26" t="str">
        <x:v>Verify privacy, evaluation gates, preflight, failures, versions, suppression, real-photo cover, budget, artifact restore, and rollback.</x:v>
      </x:c>
      <x:c r="Z53" s="26" t="str">
        <x:v>Release acceptance for REL-R7-001 — Artwork Privacy/Cover/Restore Acceptance links independent QA, five-seat review, every task-specific dossier, backup/separate-path restore for each new shape, rollback, defect gate, and proceed/hold/rollback record; a human attestation is included only for a named non-delegable act.</x:v>
      </x:c>
      <x:c r="AA53" s="26" t="str">
        <x:v>Validates rollback and restore for every persistent shape introduced by the milestone; acceptance never substitutes a successful backup upload for restore evidence.</x:v>
      </x:c>
      <x:c r="AB53" s="26" t="str">
        <x:v>Move to Done only when the named task evidence exists; prototype or document intent cannot prove implementation or release completion.</x:v>
      </x:c>
      <x:c r="AC53" s="26" t="str">
        <x:v>https://github.com/arunpr614/Life-Reflection/issues/49</x:v>
      </x:c>
    </x:row>
    <x:row r="54" ht="90" customHeight="1">
      <x:c r="A54" s="26" t="str">
        <x:v>PRD-R8-001</x:v>
      </x:c>
      <x:c r="B54" s="26" t="str">
        <x:v>Resilience PRD</x:v>
      </x:c>
      <x:c r="C54" s="26" t="str">
        <x:v>Done</x:v>
      </x:c>
      <x:c r="D54" s="26" t="str">
        <x:v>Incomplete</x:v>
      </x:c>
      <x:c r="E54" s="26" t="str">
        <x:v>No</x:v>
      </x:c>
      <x:c r="F54" s="26" t="str">
        <x:v>planning-only-historical</x:v>
      </x:c>
      <x:c r="G54" s="26" t="str">
        <x:v>R8</x:v>
      </x:c>
      <x:c r="H54" s="26" t="str">
        <x:v>Product definition</x:v>
      </x:c>
      <x:c r="I54" s="26" t="str">
        <x:v>Product Manager</x:v>
      </x:c>
      <x:c r="J54" s="26" t="str">
        <x:v>High</x:v>
      </x:c>
      <x:c r="K54" s="35" t="n">
        <x:v>46419</x:v>
      </x:c>
      <x:c r="L54" s="35" t="n">
        <x:v>46421</x:v>
      </x:c>
      <x:c r="M54" s="26" t="n">
        <x:f>IF(OR(K54="",L54=""),"",L54-K54+1)</x:f>
        <x:v>3</x:v>
      </x:c>
      <x:c r="N54" s="26" t="str">
        <x:v>LID-OPS-006, LID-OPS-011, LID-OPS-014, LID-OPS-018, LID-REF-006</x:v>
      </x:c>
      <x:c r="O54" s="26" t="str">
        <x:v>PC-001</x:v>
      </x:c>
      <x:c r="P54" s="26" t="str">
        <x:v>https://github.com/arunpr614/Life-Reflection/blob/main/docs/product/releases/PRD-R8-OPERATIONAL-SCALE-RESILIENCE.md</x:v>
      </x:c>
      <x:c r="Q54" s="26" t="str">
        <x:v>https://github.com/arunpr614/Life-Reflection/blob/main/docs/work-items/PRD-R8-001/P0-PRD-R8-001-PRD.md</x:v>
      </x:c>
      <x:c r="R54" s="26" t="str">
        <x:v>https://github.com/arunpr614/Life-Reflection/blob/main/docs/work-items/PRD-R8-001/P0-PRD-R8-001-TECHNICAL-PLAN.md</x:v>
      </x:c>
      <x:c r="S54" s="26" t="str">
        <x:v>https://github.com/arunpr614/Life-Reflection/blob/main/docs/work-items/PRD-R8-001/P0-PRD-R8-001-DESIGN-SPEC.md</x:v>
      </x:c>
      <x:c r="T54" s="26" t="str">
        <x:v>https://github.com/arunpr614/Life-Reflection/blob/main/docs/work-items/PRD-R8-001/P0-PRD-R8-001-QA-PLAN.md</x:v>
      </x:c>
      <x:c r="U54" s="26" t="str">
        <x:v>https://github.com/arunpr614/Life-Reflection/blob/main/docs/work-items/PRD-R8-001/P0-PRD-R8-001-DELIVERY-CHECKLIST.md</x:v>
      </x:c>
      <x:c r="V54" s="26" t="str">
        <x:v>https://github.com/arunpr614/Life-Reflection/blob/main/docs/work-items/PRD-R8-001/P0-PRD-R8-001-COUNCIL-READINESS.md</x:v>
      </x:c>
      <x:c r="W54" s="26" t="str">
        <x:v>https://github.com/arunpr614/Life-Reflection/blob/main/docs/council/UX-DESIGN-REVIEW.md</x:v>
      </x:c>
      <x:c r="X54" s="26" t="str">
        <x:v>https://github.com/arunpr614/Life-Reflection/blob/main/docs/architecture/PHASE1-IMPLEMENTATION-PLAN.md</x:v>
      </x:c>
      <x:c r="Y54" s="26" t="str">
        <x:v>Define measured capacity, safe degradation, health, alerts, failure isolation, integrated recovery, and hardening outcomes.</x:v>
      </x:c>
      <x:c r="Z54" s="26" t="str">
        <x:v>Release document docs/product/releases/PRD-R8-OPERATIONAL-SCALE-RESILIENCE.md exists, passes link/requirement validation, and separates council-delegated evidence gates from specifically named non-delegable human acts.</x:v>
      </x:c>
      <x:c r="AA54" s="26" t="str">
        <x:v>Planning evidence only; no production data mutation. Any later implementation still needs its own migration, restore, and rollback proof.</x:v>
      </x:c>
      <x:c r="AB54" s="26" t="str">
        <x:v>This planning artifact is complete; it does not claim feature implementation, deployment, production readiness, or release acceptance.</x:v>
      </x:c>
      <x:c r="AC54" s="26" t="str">
        <x:v>https://github.com/arunpr614/Life-Reflection/issues/50</x:v>
      </x:c>
    </x:row>
    <x:row r="55" ht="90" customHeight="1">
      <x:c r="A55" s="26" t="str">
        <x:v>ARCH-R8-001</x:v>
      </x:c>
      <x:c r="B55" s="26" t="str">
        <x:v>Capacity/Health/Alert/Fault Hardening</x:v>
      </x:c>
      <x:c r="C55" s="26" t="str">
        <x:v>Backlog</x:v>
      </x:c>
      <x:c r="D55" s="26" t="str">
        <x:v>Incomplete</x:v>
      </x:c>
      <x:c r="E55" s="26" t="str">
        <x:v>No</x:v>
      </x:c>
      <x:c r="F55" s="26" t="str">
        <x:v>future-integrated-evidence-gated</x:v>
      </x:c>
      <x:c r="G55" s="26" t="str">
        <x:v>R8</x:v>
      </x:c>
      <x:c r="H55" s="26" t="str">
        <x:v>Architecture</x:v>
      </x:c>
      <x:c r="I55" s="26" t="str">
        <x:v>Technical Architect</x:v>
      </x:c>
      <x:c r="J55" s="26" t="str">
        <x:v>High</x:v>
      </x:c>
      <x:c r="K55" s="35" t="n">
        <x:v>46419</x:v>
      </x:c>
      <x:c r="L55" s="35" t="n">
        <x:v>46423</x:v>
      </x:c>
      <x:c r="M55" s="26" t="n">
        <x:f>IF(OR(K55="",L55=""),"",L55-K55+1)</x:f>
        <x:v>5</x:v>
      </x:c>
      <x:c r="N55" s="26" t="str">
        <x:v>LID-OPS-006, LID-OPS-011, LID-OPS-014, LID-OPS-018, LID-REF-006</x:v>
      </x:c>
      <x:c r="O55" s="26" t="str">
        <x:v>PRD-R8-001, REL-R7-001</x:v>
      </x:c>
      <x:c r="P55" s="26" t="str">
        <x:v>https://github.com/arunpr614/Life-Reflection/blob/main/docs/product/releases/PRD-R8-OPERATIONAL-SCALE-RESILIENCE.md</x:v>
      </x:c>
      <x:c r="Q55" s="26" t="str">
        <x:v>https://github.com/arunpr614/Life-Reflection/blob/main/docs/work-items/ARCH-R8-001/P0-ARCH-R8-001-PRD.md</x:v>
      </x:c>
      <x:c r="R55" s="26" t="str">
        <x:v>https://github.com/arunpr614/Life-Reflection/blob/main/docs/work-items/ARCH-R8-001/P0-ARCH-R8-001-TECHNICAL-PLAN.md</x:v>
      </x:c>
      <x:c r="S55" s="26" t="str">
        <x:v>https://github.com/arunpr614/Life-Reflection/blob/main/docs/work-items/ARCH-R8-001/P0-ARCH-R8-001-DESIGN-SPEC.md</x:v>
      </x:c>
      <x:c r="T55" s="26" t="str">
        <x:v>https://github.com/arunpr614/Life-Reflection/blob/main/docs/work-items/ARCH-R8-001/P0-ARCH-R8-001-QA-PLAN.md</x:v>
      </x:c>
      <x:c r="U55" s="26" t="str">
        <x:v>https://github.com/arunpr614/Life-Reflection/blob/main/docs/work-items/ARCH-R8-001/P0-ARCH-R8-001-DELIVERY-CHECKLIST.md</x:v>
      </x:c>
      <x:c r="V55" s="26" t="str">
        <x:v>https://github.com/arunpr614/Life-Reflection/blob/main/docs/work-items/ARCH-R8-001/P0-ARCH-R8-001-COUNCIL-READINESS.md</x:v>
      </x:c>
      <x:c r="W55" s="26" t="str">
        <x:v>https://github.com/arunpr614/Life-Reflection/blob/main/docs/council/UX-DESIGN-REVIEW.md</x:v>
      </x:c>
      <x:c r="X55" s="26" t="str">
        <x:v>https://github.com/arunpr614/Life-Reflection/blob/main/docs/architecture/PHASE1-IMPLEMENTATION-PLAN.md</x:v>
      </x:c>
      <x:c r="Y55" s="26" t="str">
        <x:v>Harden measured watermarks, process/job supervision, durable health, alert transitions, dependency isolation, and recovery operations.</x:v>
      </x:c>
      <x:c r="Z55" s="26" t="str">
        <x:v>Approved task-specific technical plan for ARCH-R8-001 — Capacity/Health/Alert/Fault Hardening links owned modules, ADRs, threats/data flows, interfaces/data shapes, capacity, migration, restore, rollback, and Architect sign-off.</x:v>
      </x:c>
      <x:c r="AA55" s="26" t="str">
        <x:v>No personal-data mutation is authorized by this task; it must define or prove reversible deployment and recovery before dependent implementation.</x:v>
      </x:c>
      <x:c r="AB55" s="26" t="str">
        <x:v>Move to Done only when the named task evidence exists; prototype or document intent cannot prove implementation or release completion.</x:v>
      </x:c>
      <x:c r="AC55" s="26" t="str">
        <x:v>https://github.com/arunpr614/Life-Reflection/issues/51</x:v>
      </x:c>
    </x:row>
    <x:row r="56" ht="90" customHeight="1">
      <x:c r="A56" s="26" t="str">
        <x:v>QA-R8-001</x:v>
      </x:c>
      <x:c r="B56" s="26" t="str">
        <x:v>Integrated Fault/Security/Browser/Accessibility Suite</x:v>
      </x:c>
      <x:c r="C56" s="26" t="str">
        <x:v>Backlog</x:v>
      </x:c>
      <x:c r="D56" s="26" t="str">
        <x:v>Incomplete</x:v>
      </x:c>
      <x:c r="E56" s="26" t="str">
        <x:v>No</x:v>
      </x:c>
      <x:c r="F56" s="26" t="str">
        <x:v>future-integrated-evidence-gated</x:v>
      </x:c>
      <x:c r="G56" s="26" t="str">
        <x:v>R8</x:v>
      </x:c>
      <x:c r="H56" s="26" t="str">
        <x:v>Quality</x:v>
      </x:c>
      <x:c r="I56" s="26" t="str">
        <x:v>Independent QA + Project Manager</x:v>
      </x:c>
      <x:c r="J56" s="26" t="str">
        <x:v>High</x:v>
      </x:c>
      <x:c r="K56" s="35" t="n">
        <x:v>46422</x:v>
      </x:c>
      <x:c r="L56" s="35" t="n">
        <x:v>46435</x:v>
      </x:c>
      <x:c r="M56" s="26" t="n">
        <x:f>IF(OR(K56="",L56=""),"",L56-K56+1)</x:f>
        <x:v>14</x:v>
      </x:c>
      <x:c r="N56" s="26" t="str">
        <x:v>LID-SCP-001, LID-SCP-002, LID-SCP-003, LID-SCP-004, LID-TG-001, LID-TG-002, LID-TG-003, LID-TG-004, LID-TG-005, LID-TG-006, LID-TG-007, LID-TG-008, LID-TG-009, LID-TG-010, LID-VN-001, LID-VN-002, LID-VN-003, LID-VN-004, LID-VN-005, LID-VN-006, LID-VN-007, LID-UP-001, LID-UP-002, LID-UP-003, LID-SRC-001, LID-SRC-002, LID-SRC-003, LID-SRC-004, LID-REF-001, LID-REF-002, LID-REF-003, LID-REF-004, LID-REF-005, LID-REF-006, LID-REF-007, LID-AIT-001, LID-AIT-002, LID-AIT-003, LID-AIT-004, LID-AIT-005, LID-AIT-006, LID-AIT-007, LID-AIA-001, LID-AIA-002, LID-AIA-003, LID-AIA-004, LID-AIA-005, LID-AIA-006, LID-AIA-007, LID-AIA-008, LID-AIA-009, LID-AIA-010, LID-AIA-011, LID-OPS-001, LID-OPS-002, LID-OPS-003, LID-OPS-004, LID-OPS-005, LID-OPS-006, LID-OPS-007, LID-OPS-008, LID-OPS-009, LID-OPS-010, LID-OPS-011, LID-OPS-012, LID-OPS-013, LID-OPS-014, LID-OPS-015, LID-OPS-016, LID-OPS-017, LID-OPS-018</x:v>
      </x:c>
      <x:c r="O56" s="26" t="str">
        <x:v>ARCH-R8-001, REL-R7-001</x:v>
      </x:c>
      <x:c r="P56" s="26" t="str">
        <x:v>https://github.com/arunpr614/Life-Reflection/blob/main/docs/product/releases/PRD-R8-OPERATIONAL-SCALE-RESILIENCE.md</x:v>
      </x:c>
      <x:c r="Q56" s="26" t="str">
        <x:v>https://github.com/arunpr614/Life-Reflection/blob/main/docs/work-items/QA-R8-001/P0-QA-R8-001-PRD.md</x:v>
      </x:c>
      <x:c r="R56" s="26" t="str">
        <x:v>https://github.com/arunpr614/Life-Reflection/blob/main/docs/work-items/QA-R8-001/P0-QA-R8-001-TECHNICAL-PLAN.md</x:v>
      </x:c>
      <x:c r="S56" s="26" t="str">
        <x:v>https://github.com/arunpr614/Life-Reflection/blob/main/docs/work-items/QA-R8-001/P0-QA-R8-001-DESIGN-SPEC.md</x:v>
      </x:c>
      <x:c r="T56" s="26" t="str">
        <x:v>https://github.com/arunpr614/Life-Reflection/blob/main/docs/work-items/QA-R8-001/P0-QA-R8-001-QA-PLAN.md</x:v>
      </x:c>
      <x:c r="U56" s="26" t="str">
        <x:v>https://github.com/arunpr614/Life-Reflection/blob/main/docs/work-items/QA-R8-001/P0-QA-R8-001-DELIVERY-CHECKLIST.md</x:v>
      </x:c>
      <x:c r="V56" s="26" t="str">
        <x:v>https://github.com/arunpr614/Life-Reflection/blob/main/docs/work-items/QA-R8-001/P0-QA-R8-001-COUNCIL-READINESS.md</x:v>
      </x:c>
      <x:c r="W56" s="26" t="str">
        <x:v>https://github.com/arunpr614/Life-Reflection/blob/main/docs/council/UX-DESIGN-REVIEW.md</x:v>
      </x:c>
      <x:c r="X56" s="26" t="str">
        <x:v>https://github.com/arunpr614/Life-Reflection/blob/main/docs/architecture/PHASE1-IMPLEMENTATION-PLAN.md</x:v>
      </x:c>
      <x:c r="Y56" s="26" t="str">
        <x:v>Execute integrated capacity, restart, dependency, privacy, security, browser, keyboard, screen-reader, zoom, theme, and restore tests.</x:v>
      </x:c>
      <x:c r="Z56" s="26" t="str">
        <x:v>Independent task-specific matrix for QA-R8-001 — Integrated Fault/Security/Browser/Accessibility Suite links executed scenarios, defects/retests, privacy/security/accessibility/browser evidence, restore/rollback results, reviewer independence, and permitted claim.</x:v>
      </x:c>
      <x:c r="AA56" s="26" t="str">
        <x:v>Validates rollback and restore for every persistent shape introduced by the milestone; acceptance never substitutes a successful backup upload for restore evidence.</x:v>
      </x:c>
      <x:c r="AB56" s="26" t="str">
        <x:v>Move to Done only when the named task evidence exists; prototype or document intent cannot prove implementation or release completion.</x:v>
      </x:c>
      <x:c r="AC56" s="26" t="str">
        <x:v>https://github.com/arunpr614/Life-Reflection/issues/52</x:v>
      </x:c>
    </x:row>
    <x:row r="57" ht="90" customHeight="1">
      <x:c r="A57" s="26" t="str">
        <x:v>REL-R8-001</x:v>
      </x:c>
      <x:c r="B57" s="26" t="str">
        <x:v>Resilience Release Acceptance</x:v>
      </x:c>
      <x:c r="C57" s="26" t="str">
        <x:v>Backlog</x:v>
      </x:c>
      <x:c r="D57" s="26" t="str">
        <x:v>Incomplete</x:v>
      </x:c>
      <x:c r="E57" s="26" t="str">
        <x:v>No</x:v>
      </x:c>
      <x:c r="F57" s="26" t="str">
        <x:v>future-integrated-evidence-gated</x:v>
      </x:c>
      <x:c r="G57" s="26" t="str">
        <x:v>R8</x:v>
      </x:c>
      <x:c r="H57" s="26" t="str">
        <x:v>Release acceptance</x:v>
      </x:c>
      <x:c r="I57" s="26" t="str">
        <x:v>Project Manager + Independent QA</x:v>
      </x:c>
      <x:c r="J57" s="26" t="str">
        <x:v>High</x:v>
      </x:c>
      <x:c r="K57" s="35" t="n">
        <x:v>46436</x:v>
      </x:c>
      <x:c r="L57" s="35" t="n">
        <x:v>46437</x:v>
      </x:c>
      <x:c r="M57" s="26" t="n">
        <x:f>IF(OR(K57="",L57=""),"",L57-K57+1)</x:f>
        <x:v>2</x:v>
      </x:c>
      <x:c r="N57" s="26" t="str">
        <x:v>LID-SCP-001, LID-SCP-002, LID-SCP-003, LID-SCP-004, LID-TG-001, LID-TG-002, LID-TG-003, LID-TG-004, LID-TG-005, LID-TG-006, LID-TG-007, LID-TG-008, LID-TG-009, LID-TG-010, LID-VN-001, LID-VN-002, LID-VN-003, LID-VN-004, LID-VN-005, LID-VN-006, LID-VN-007, LID-UP-001, LID-UP-002, LID-UP-003, LID-SRC-001, LID-SRC-002, LID-SRC-003, LID-SRC-004, LID-REF-001, LID-REF-002, LID-REF-003, LID-REF-004, LID-REF-005, LID-REF-006, LID-REF-007, LID-AIT-001, LID-AIT-002, LID-AIT-003, LID-AIT-004, LID-AIT-005, LID-AIT-006, LID-AIT-007, LID-AIA-001, LID-AIA-002, LID-AIA-003, LID-AIA-004, LID-AIA-005, LID-AIA-006, LID-AIA-007, LID-AIA-008, LID-AIA-009, LID-AIA-010, LID-AIA-011, LID-OPS-001, LID-OPS-002, LID-OPS-003, LID-OPS-004, LID-OPS-005, LID-OPS-006, LID-OPS-007, LID-OPS-008, LID-OPS-009, LID-OPS-010, LID-OPS-011, LID-OPS-012, LID-OPS-013, LID-OPS-014, LID-OPS-015, LID-OPS-016, LID-OPS-017, LID-OPS-018</x:v>
      </x:c>
      <x:c r="O57" s="26" t="str">
        <x:v>QA-R8-001</x:v>
      </x:c>
      <x:c r="P57" s="26" t="str">
        <x:v>https://github.com/arunpr614/Life-Reflection/blob/main/docs/product/releases/PRD-R8-OPERATIONAL-SCALE-RESILIENCE.md</x:v>
      </x:c>
      <x:c r="Q57" s="26" t="str">
        <x:v>https://github.com/arunpr614/Life-Reflection/blob/main/docs/work-items/REL-R8-001/P0-REL-R8-001-PRD.md</x:v>
      </x:c>
      <x:c r="R57" s="26" t="str">
        <x:v>https://github.com/arunpr614/Life-Reflection/blob/main/docs/work-items/REL-R8-001/P0-REL-R8-001-TECHNICAL-PLAN.md</x:v>
      </x:c>
      <x:c r="S57" s="26" t="str">
        <x:v>https://github.com/arunpr614/Life-Reflection/blob/main/docs/work-items/REL-R8-001/P0-REL-R8-001-DESIGN-SPEC.md</x:v>
      </x:c>
      <x:c r="T57" s="26" t="str">
        <x:v>https://github.com/arunpr614/Life-Reflection/blob/main/docs/work-items/REL-R8-001/P0-REL-R8-001-QA-PLAN.md</x:v>
      </x:c>
      <x:c r="U57" s="26" t="str">
        <x:v>https://github.com/arunpr614/Life-Reflection/blob/main/docs/work-items/REL-R8-001/P0-REL-R8-001-DELIVERY-CHECKLIST.md</x:v>
      </x:c>
      <x:c r="V57" s="26" t="str">
        <x:v>https://github.com/arunpr614/Life-Reflection/blob/main/docs/work-items/REL-R8-001/P0-REL-R8-001-COUNCIL-READINESS.md</x:v>
      </x:c>
      <x:c r="W57" s="26" t="str">
        <x:v>https://github.com/arunpr614/Life-Reflection/blob/main/docs/council/UX-DESIGN-REVIEW.md</x:v>
      </x:c>
      <x:c r="X57" s="26" t="str">
        <x:v>https://github.com/arunpr614/Life-Reflection/blob/main/docs/architecture/PHASE1-IMPLEMENTATION-PLAN.md</x:v>
      </x:c>
      <x:c r="Y57" s="26" t="str">
        <x:v>Accept the integrated operating envelope only after faults, alerts, capacity, backup/restore, rollback, and regressions pass.</x:v>
      </x:c>
      <x:c r="Z57" s="26" t="str">
        <x:v>Release acceptance for REL-R8-001 — Resilience Release Acceptance links independent QA, five-seat review, every task-specific dossier, backup/separate-path restore for each new shape, rollback, defect gate, and proceed/hold/rollback record; a human attestation is included only for a named non-delegable act.</x:v>
      </x:c>
      <x:c r="AA57" s="26" t="str">
        <x:v>Validates rollback and restore for every persistent shape introduced by the milestone; acceptance never substitutes a successful backup upload for restore evidence.</x:v>
      </x:c>
      <x:c r="AB57" s="26" t="str">
        <x:v>Move to Done only when the named task evidence exists; prototype or document intent cannot prove implementation or release completion.</x:v>
      </x:c>
      <x:c r="AC57" s="26" t="str">
        <x:v>https://github.com/arunpr614/Life-Reflection/issues/53</x:v>
      </x:c>
    </x:row>
    <x:row r="58" ht="90" customHeight="1">
      <x:c r="A58" s="26" t="str">
        <x:v>PRD-R9-001</x:v>
      </x:c>
      <x:c r="B58" s="26" t="str">
        <x:v>Launch Acceptance Plan</x:v>
      </x:c>
      <x:c r="C58" s="26" t="str">
        <x:v>Done</x:v>
      </x:c>
      <x:c r="D58" s="26" t="str">
        <x:v>Incomplete</x:v>
      </x:c>
      <x:c r="E58" s="26" t="str">
        <x:v>No</x:v>
      </x:c>
      <x:c r="F58" s="26" t="str">
        <x:v>planning-only-historical</x:v>
      </x:c>
      <x:c r="G58" s="26" t="str">
        <x:v>R9</x:v>
      </x:c>
      <x:c r="H58" s="26" t="str">
        <x:v>Product definition</x:v>
      </x:c>
      <x:c r="I58" s="26" t="str">
        <x:v>Product Manager</x:v>
      </x:c>
      <x:c r="J58" s="26" t="str">
        <x:v>High</x:v>
      </x:c>
      <x:c r="K58" s="35" t="n">
        <x:v>46440</x:v>
      </x:c>
      <x:c r="L58" s="35" t="n">
        <x:v>46442</x:v>
      </x:c>
      <x:c r="M58" s="26" t="n">
        <x:f>IF(OR(K58="",L58=""),"",L58-K58+1)</x:f>
        <x:v>3</x:v>
      </x:c>
      <x:c r="N58" s="26" t="str">
        <x:v>LID-SCP-001, LID-SCP-002, LID-SCP-003, LID-SCP-004, LID-TG-001, LID-TG-002, LID-TG-003, LID-TG-004, LID-TG-005, LID-TG-006, LID-TG-007, LID-TG-008, LID-TG-009, LID-TG-010, LID-VN-001, LID-VN-002, LID-VN-003, LID-VN-004, LID-VN-005, LID-VN-006, LID-VN-007, LID-UP-001, LID-UP-002, LID-UP-003, LID-SRC-001, LID-SRC-002, LID-SRC-003, LID-SRC-004, LID-REF-001, LID-REF-002, LID-REF-003, LID-REF-004, LID-REF-005, LID-REF-006, LID-REF-007, LID-AIT-001, LID-AIT-002, LID-AIT-003, LID-AIT-004, LID-AIT-005, LID-AIT-006, LID-AIT-007, LID-AIA-001, LID-AIA-002, LID-AIA-003, LID-AIA-004, LID-AIA-005, LID-AIA-006, LID-AIA-007, LID-AIA-008, LID-AIA-009, LID-AIA-010, LID-AIA-011, LID-OPS-001, LID-OPS-002, LID-OPS-003, LID-OPS-004, LID-OPS-005, LID-OPS-006, LID-OPS-007, LID-OPS-008, LID-OPS-009, LID-OPS-010, LID-OPS-011, LID-OPS-012, LID-OPS-013, LID-OPS-014, LID-OPS-015, LID-OPS-016, LID-OPS-017, LID-OPS-018</x:v>
      </x:c>
      <x:c r="O58" s="26" t="str">
        <x:v>PC-001</x:v>
      </x:c>
      <x:c r="P58" s="26" t="str">
        <x:v>https://github.com/arunpr614/Life-Reflection/blob/main/docs/product/releases/PRD-R9-PRIVATE-LAUNCH-ACCEPTANCE.md</x:v>
      </x:c>
      <x:c r="Q58" s="26" t="str">
        <x:v>https://github.com/arunpr614/Life-Reflection/blob/main/docs/work-items/PRD-R9-001/P0-PRD-R9-001-PRD.md</x:v>
      </x:c>
      <x:c r="R58" s="26" t="str">
        <x:v>https://github.com/arunpr614/Life-Reflection/blob/main/docs/work-items/PRD-R9-001/P0-PRD-R9-001-TECHNICAL-PLAN.md</x:v>
      </x:c>
      <x:c r="S58" s="26" t="str">
        <x:v>https://github.com/arunpr614/Life-Reflection/blob/main/docs/work-items/PRD-R9-001/P0-PRD-R9-001-DESIGN-SPEC.md</x:v>
      </x:c>
      <x:c r="T58" s="26" t="str">
        <x:v>https://github.com/arunpr614/Life-Reflection/blob/main/docs/work-items/PRD-R9-001/P0-PRD-R9-001-QA-PLAN.md</x:v>
      </x:c>
      <x:c r="U58" s="26" t="str">
        <x:v>https://github.com/arunpr614/Life-Reflection/blob/main/docs/work-items/PRD-R9-001/P0-PRD-R9-001-DELIVERY-CHECKLIST.md</x:v>
      </x:c>
      <x:c r="V58" s="26" t="str">
        <x:v>https://github.com/arunpr614/Life-Reflection/blob/main/docs/work-items/PRD-R9-001/P0-PRD-R9-001-COUNCIL-READINESS.md</x:v>
      </x:c>
      <x:c r="W58" s="26" t="str">
        <x:v>https://github.com/arunpr614/Life-Reflection/blob/main/docs/council/UX-DESIGN-REVIEW.md</x:v>
      </x:c>
      <x:c r="X58" s="26" t="str">
        <x:v>https://github.com/arunpr614/Life-Reflection/blob/main/docs/architecture/PHASE1-IMPLEMENTATION-PLAN.md</x:v>
      </x:c>
      <x:c r="Y58" s="26" t="str">
        <x:v>Define the owner UAT, Recovery Ceremony, severity gate, observation window, explicit authority, go/no-go, and rollback plan with no feature growth.</x:v>
      </x:c>
      <x:c r="Z58" s="26" t="str">
        <x:v>Release document docs/product/releases/PRD-R9-PRIVATE-LAUNCH-ACCEPTANCE.md exists, passes link/requirement validation, and separates council-delegated evidence gates from specifically named non-delegable human acts.</x:v>
      </x:c>
      <x:c r="AA58" s="26" t="str">
        <x:v>Planning evidence only; no production data mutation. Any later implementation still needs its own migration, restore, and rollback proof.</x:v>
      </x:c>
      <x:c r="AB58" s="26" t="str">
        <x:v>This planning artifact is complete; it does not claim feature implementation, deployment, production readiness, or release acceptance.</x:v>
      </x:c>
      <x:c r="AC58" s="26" t="str">
        <x:v>https://github.com/arunpr614/Life-Reflection/issues/54</x:v>
      </x:c>
    </x:row>
    <x:row r="59" ht="90" customHeight="1">
      <x:c r="A59" s="26" t="str">
        <x:v>QA-R9-001</x:v>
      </x:c>
      <x:c r="B59" s="26" t="str">
        <x:v>Owner UAT/Recovery Ceremony/Stabilization</x:v>
      </x:c>
      <x:c r="C59" s="26" t="str">
        <x:v>Backlog</x:v>
      </x:c>
      <x:c r="D59" s="26" t="str">
        <x:v>Incomplete</x:v>
      </x:c>
      <x:c r="E59" s="26" t="str">
        <x:v>No</x:v>
      </x:c>
      <x:c r="F59" s="26" t="str">
        <x:v>future-human-launch-gated</x:v>
      </x:c>
      <x:c r="G59" s="26" t="str">
        <x:v>R9</x:v>
      </x:c>
      <x:c r="H59" s="26" t="str">
        <x:v>Quality</x:v>
      </x:c>
      <x:c r="I59" s="26" t="str">
        <x:v>Independent QA + Project Manager</x:v>
      </x:c>
      <x:c r="J59" s="26" t="str">
        <x:v>High</x:v>
      </x:c>
      <x:c r="K59" s="35" t="n">
        <x:v>46440</x:v>
      </x:c>
      <x:c r="L59" s="35" t="n">
        <x:v>46456</x:v>
      </x:c>
      <x:c r="M59" s="26" t="n">
        <x:f>IF(OR(K59="",L59=""),"",L59-K59+1)</x:f>
        <x:v>17</x:v>
      </x:c>
      <x:c r="N59" s="26" t="str">
        <x:v>LID-SCP-001, LID-SCP-002, LID-SCP-003, LID-SCP-004, LID-TG-001, LID-TG-002, LID-TG-003, LID-TG-004, LID-TG-005, LID-TG-006, LID-TG-007, LID-TG-008, LID-TG-009, LID-TG-010, LID-VN-001, LID-VN-002, LID-VN-003, LID-VN-004, LID-VN-005, LID-VN-006, LID-VN-007, LID-UP-001, LID-UP-002, LID-UP-003, LID-SRC-001, LID-SRC-002, LID-SRC-003, LID-SRC-004, LID-REF-001, LID-REF-002, LID-REF-003, LID-REF-004, LID-REF-005, LID-REF-006, LID-REF-007, LID-AIT-001, LID-AIT-002, LID-AIT-003, LID-AIT-004, LID-AIT-005, LID-AIT-006, LID-AIT-007, LID-AIA-001, LID-AIA-002, LID-AIA-003, LID-AIA-004, LID-AIA-005, LID-AIA-006, LID-AIA-007, LID-AIA-008, LID-AIA-009, LID-AIA-010, LID-AIA-011, LID-OPS-001, LID-OPS-002, LID-OPS-003, LID-OPS-004, LID-OPS-005, LID-OPS-006, LID-OPS-007, LID-OPS-008, LID-OPS-009, LID-OPS-010, LID-OPS-011, LID-OPS-012, LID-OPS-013, LID-OPS-014, LID-OPS-015, LID-OPS-016, LID-OPS-017, LID-OPS-018</x:v>
      </x:c>
      <x:c r="O59" s="26" t="str">
        <x:v>PRD-R9-001, REL-R8-001</x:v>
      </x:c>
      <x:c r="P59" s="26" t="str">
        <x:v>https://github.com/arunpr614/Life-Reflection/blob/main/docs/product/releases/PRD-R9-PRIVATE-LAUNCH-ACCEPTANCE.md</x:v>
      </x:c>
      <x:c r="Q59" s="26" t="str">
        <x:v>https://github.com/arunpr614/Life-Reflection/blob/main/docs/work-items/QA-R9-001/P0-QA-R9-001-PRD.md</x:v>
      </x:c>
      <x:c r="R59" s="26" t="str">
        <x:v>https://github.com/arunpr614/Life-Reflection/blob/main/docs/work-items/QA-R9-001/P0-QA-R9-001-TECHNICAL-PLAN.md</x:v>
      </x:c>
      <x:c r="S59" s="26" t="str">
        <x:v>https://github.com/arunpr614/Life-Reflection/blob/main/docs/work-items/QA-R9-001/P0-QA-R9-001-DESIGN-SPEC.md</x:v>
      </x:c>
      <x:c r="T59" s="26" t="str">
        <x:v>https://github.com/arunpr614/Life-Reflection/blob/main/docs/work-items/QA-R9-001/P0-QA-R9-001-QA-PLAN.md</x:v>
      </x:c>
      <x:c r="U59" s="26" t="str">
        <x:v>https://github.com/arunpr614/Life-Reflection/blob/main/docs/work-items/QA-R9-001/P0-QA-R9-001-DELIVERY-CHECKLIST.md</x:v>
      </x:c>
      <x:c r="V59" s="26" t="str">
        <x:v>https://github.com/arunpr614/Life-Reflection/blob/main/docs/work-items/QA-R9-001/P0-QA-R9-001-COUNCIL-READINESS.md</x:v>
      </x:c>
      <x:c r="W59" s="26" t="str">
        <x:v>https://github.com/arunpr614/Life-Reflection/blob/main/docs/council/UX-DESIGN-REVIEW.md</x:v>
      </x:c>
      <x:c r="X59" s="26" t="str">
        <x:v>https://github.com/arunpr614/Life-Reflection/blob/main/docs/architecture/PHASE1-IMPLEMENTATION-PLAN.md</x:v>
      </x:c>
      <x:c r="Y59" s="26" t="str">
        <x:v>Execute complete owner journeys, full representative recovery, defect stabilization, accessibility, privacy, spend, capacity, and failure scenarios.</x:v>
      </x:c>
      <x:c r="Z59" s="26" t="str">
        <x:v>Independent task-specific matrix for QA-R9-001 — Owner UAT/Recovery Ceremony/Stabilization links executed scenarios, defects/retests, privacy/security/accessibility/browser evidence, restore/rollback results, reviewer independence, and permitted claim.</x:v>
      </x:c>
      <x:c r="AA59" s="26" t="str">
        <x:v>Validates rollback and restore for every persistent shape introduced by the milestone; acceptance never substitutes a successful backup upload for restore evidence.</x:v>
      </x:c>
      <x:c r="AB59" s="26" t="str">
        <x:v>Move to Done only when the named task evidence exists; prototype or document intent cannot prove implementation or release completion.</x:v>
      </x:c>
      <x:c r="AC59" s="26" t="str">
        <x:v>https://github.com/arunpr614/Life-Reflection/issues/55</x:v>
      </x:c>
    </x:row>
    <x:row r="60" ht="90" customHeight="1">
      <x:c r="A60" s="26" t="str">
        <x:v>REL-R9-001</x:v>
      </x:c>
      <x:c r="B60" s="26" t="str">
        <x:v>Private Launch Go/No-go &amp; Observation</x:v>
      </x:c>
      <x:c r="C60" s="26" t="str">
        <x:v>Backlog</x:v>
      </x:c>
      <x:c r="D60" s="26" t="str">
        <x:v>Incomplete</x:v>
      </x:c>
      <x:c r="E60" s="26" t="str">
        <x:v>No</x:v>
      </x:c>
      <x:c r="F60" s="26" t="str">
        <x:v>future-human-launch-gated</x:v>
      </x:c>
      <x:c r="G60" s="26" t="str">
        <x:v>R9</x:v>
      </x:c>
      <x:c r="H60" s="26" t="str">
        <x:v>Release acceptance</x:v>
      </x:c>
      <x:c r="I60" s="26" t="str">
        <x:v>Project Manager + Independent QA</x:v>
      </x:c>
      <x:c r="J60" s="26" t="str">
        <x:v>High</x:v>
      </x:c>
      <x:c r="K60" s="35" t="n">
        <x:v>46457</x:v>
      </x:c>
      <x:c r="L60" s="35" t="n">
        <x:v>46458</x:v>
      </x:c>
      <x:c r="M60" s="26" t="n">
        <x:f>IF(OR(K60="",L60=""),"",L60-K60+1)</x:f>
        <x:v>2</x:v>
      </x:c>
      <x:c r="N60" s="26" t="str">
        <x:v>LID-SCP-001, LID-SCP-002, LID-SCP-003, LID-SCP-004, LID-TG-001, LID-TG-002, LID-TG-003, LID-TG-004, LID-TG-005, LID-TG-006, LID-TG-007, LID-TG-008, LID-TG-009, LID-TG-010, LID-VN-001, LID-VN-002, LID-VN-003, LID-VN-004, LID-VN-005, LID-VN-006, LID-VN-007, LID-UP-001, LID-UP-002, LID-UP-003, LID-SRC-001, LID-SRC-002, LID-SRC-003, LID-SRC-004, LID-REF-001, LID-REF-002, LID-REF-003, LID-REF-004, LID-REF-005, LID-REF-006, LID-REF-007, LID-AIT-001, LID-AIT-002, LID-AIT-003, LID-AIT-004, LID-AIT-005, LID-AIT-006, LID-AIT-007, LID-AIA-001, LID-AIA-002, LID-AIA-003, LID-AIA-004, LID-AIA-005, LID-AIA-006, LID-AIA-007, LID-AIA-008, LID-AIA-009, LID-AIA-010, LID-AIA-011, LID-OPS-001, LID-OPS-002, LID-OPS-003, LID-OPS-004, LID-OPS-005, LID-OPS-006, LID-OPS-007, LID-OPS-008, LID-OPS-009, LID-OPS-010, LID-OPS-011, LID-OPS-012, LID-OPS-013, LID-OPS-014, LID-OPS-015, LID-OPS-016, LID-OPS-017, LID-OPS-018</x:v>
      </x:c>
      <x:c r="O60" s="26" t="str">
        <x:v>QA-R9-001</x:v>
      </x:c>
      <x:c r="P60" s="26" t="str">
        <x:v>https://github.com/arunpr614/Life-Reflection/blob/main/docs/product/releases/PRD-R9-PRIVATE-LAUNCH-ACCEPTANCE.md</x:v>
      </x:c>
      <x:c r="Q60" s="26" t="str">
        <x:v>https://github.com/arunpr614/Life-Reflection/blob/main/docs/work-items/REL-R9-001/P0-REL-R9-001-PRD.md</x:v>
      </x:c>
      <x:c r="R60" s="26" t="str">
        <x:v>https://github.com/arunpr614/Life-Reflection/blob/main/docs/work-items/REL-R9-001/P0-REL-R9-001-TECHNICAL-PLAN.md</x:v>
      </x:c>
      <x:c r="S60" s="26" t="str">
        <x:v>https://github.com/arunpr614/Life-Reflection/blob/main/docs/work-items/REL-R9-001/P0-REL-R9-001-DESIGN-SPEC.md</x:v>
      </x:c>
      <x:c r="T60" s="26" t="str">
        <x:v>https://github.com/arunpr614/Life-Reflection/blob/main/docs/work-items/REL-R9-001/P0-REL-R9-001-QA-PLAN.md</x:v>
      </x:c>
      <x:c r="U60" s="26" t="str">
        <x:v>https://github.com/arunpr614/Life-Reflection/blob/main/docs/work-items/REL-R9-001/P0-REL-R9-001-DELIVERY-CHECKLIST.md</x:v>
      </x:c>
      <x:c r="V60" s="26" t="str">
        <x:v>https://github.com/arunpr614/Life-Reflection/blob/main/docs/work-items/REL-R9-001/P0-REL-R9-001-COUNCIL-READINESS.md</x:v>
      </x:c>
      <x:c r="W60" s="26" t="str">
        <x:v>https://github.com/arunpr614/Life-Reflection/blob/main/docs/council/UX-DESIGN-REVIEW.md</x:v>
      </x:c>
      <x:c r="X60" s="26" t="str">
        <x:v>https://github.com/arunpr614/Life-Reflection/blob/main/docs/architecture/PHASE1-IMPLEMENTATION-PLAN.md</x:v>
      </x:c>
      <x:c r="Y60" s="26" t="str">
        <x:v>Record explicit owner authority, severity status, Recovery Ceremony, observation evidence, and go/no-go or rollback decision.</x:v>
      </x:c>
      <x:c r="Z60" s="26" t="str">
        <x:v>Release acceptance for REL-R9-001 — Private Launch Go/No-go &amp; Observation links independent QA, five-seat review, every task-specific dossier, backup/separate-path restore for each new shape, rollback, defect gate, and proceed/hold/rollback record; a human attestation is included only for a named non-delegable act.</x:v>
      </x:c>
      <x:c r="AA60" s="26" t="str">
        <x:v>Validates rollback and restore for every persistent shape introduced by the milestone; acceptance never substitutes a successful backup upload for restore evidence.</x:v>
      </x:c>
      <x:c r="AB60" s="26" t="str">
        <x:v>Move to Done only when the named task evidence exists; prototype or document intent cannot prove implementation or release completion.</x:v>
      </x:c>
      <x:c r="AC60" s="26" t="str">
        <x:v>https://github.com/arunpr614/Life-Reflection/issues/56</x:v>
      </x:c>
    </x:row>
    <x:row r="61" ht="90" customHeight="1">
      <x:c r="A61" s="26" t="str">
        <x:v>PID-R10-001</x:v>
      </x:c>
      <x:c r="B61" s="26" t="str">
        <x:v>Object-store Transition PID</x:v>
      </x:c>
      <x:c r="C61" s="26" t="str">
        <x:v>Done</x:v>
      </x:c>
      <x:c r="D61" s="26" t="str">
        <x:v>Incomplete</x:v>
      </x:c>
      <x:c r="E61" s="26" t="str">
        <x:v>No</x:v>
      </x:c>
      <x:c r="F61" s="26" t="str">
        <x:v>planning-only-historical</x:v>
      </x:c>
      <x:c r="G61" s="26" t="str">
        <x:v>R10</x:v>
      </x:c>
      <x:c r="H61" s="26" t="str">
        <x:v>Product definition</x:v>
      </x:c>
      <x:c r="I61" s="26" t="str">
        <x:v>Product Manager</x:v>
      </x:c>
      <x:c r="J61" s="26" t="str">
        <x:v>Medium</x:v>
      </x:c>
      <x:c r="K61" s="35"/>
      <x:c r="L61" s="35"/>
      <x:c r="M61" s="26" t="str">
        <x:f>IF(OR(K61="",L61=""),"",L61-K61+1)</x:f>
      </x:c>
      <x:c r="N61" s="26" t="str">
        <x:v>LID-OPS-006, LID-OPS-007, LID-OPS-008, LID-OPS-011, LID-OPS-014, LID-OPS-018</x:v>
      </x:c>
      <x:c r="O61" s="26" t="str">
        <x:v>PC-001</x:v>
      </x:c>
      <x:c r="P61" s="26" t="str">
        <x:v>https://github.com/arunpr614/Life-Reflection/blob/main/docs/product/releases/PID-R10-OBJECT-STORE-TRANSITION.md</x:v>
      </x:c>
      <x:c r="Q61" s="26" t="str">
        <x:v>https://github.com/arunpr614/Life-Reflection/blob/main/docs/work-items/PID-R10-001/P0-PID-R10-001-PRD.md</x:v>
      </x:c>
      <x:c r="R61" s="26" t="str">
        <x:v>https://github.com/arunpr614/Life-Reflection/blob/main/docs/work-items/PID-R10-001/P0-PID-R10-001-TECHNICAL-PLAN.md</x:v>
      </x:c>
      <x:c r="S61" s="26" t="str">
        <x:v>https://github.com/arunpr614/Life-Reflection/blob/main/docs/work-items/PID-R10-001/P0-PID-R10-001-DESIGN-SPEC.md</x:v>
      </x:c>
      <x:c r="T61" s="26" t="str">
        <x:v>https://github.com/arunpr614/Life-Reflection/blob/main/docs/work-items/PID-R10-001/P0-PID-R10-001-QA-PLAN.md</x:v>
      </x:c>
      <x:c r="U61" s="26" t="str">
        <x:v>https://github.com/arunpr614/Life-Reflection/blob/main/docs/work-items/PID-R10-001/P0-PID-R10-001-DELIVERY-CHECKLIST.md</x:v>
      </x:c>
      <x:c r="V61" s="26" t="str">
        <x:v>https://github.com/arunpr614/Life-Reflection/blob/main/docs/work-items/PID-R10-001/P0-PID-R10-001-COUNCIL-READINESS.md</x:v>
      </x:c>
      <x:c r="W61" s="26" t="str">
        <x:v>https://github.com/arunpr614/Life-Reflection/blob/main/docs/council/UX-DESIGN-REVIEW.md</x:v>
      </x:c>
      <x:c r="X61" s="26" t="str">
        <x:v>https://github.com/arunpr614/Life-Reflection/blob/main/docs/architecture/PHASE1-IMPLEMENTATION-PLAN.md</x:v>
      </x:c>
      <x:c r="Y61" s="26" t="str">
        <x:v>Define the date-free capacity trigger, user-visible states, outcomes, non-goals, cutover, recovery, rollback, and owner acceptance boundary.</x:v>
      </x:c>
      <x:c r="Z61" s="26" t="str">
        <x:v>Release document docs/product/releases/PID-R10-OBJECT-STORE-TRANSITION.md exists, passes link/requirement validation, and separates council-delegated evidence gates from specifically named non-delegable human acts.</x:v>
      </x:c>
      <x:c r="AA61" s="26" t="str">
        <x:v>Planning evidence only; no production data mutation. Any later implementation still needs its own migration, restore, and rollback proof.</x:v>
      </x:c>
      <x:c r="AB61" s="26" t="str">
        <x:v>This planning artifact is complete; it does not claim feature implementation, deployment, production readiness, or release acceptance.</x:v>
      </x:c>
      <x:c r="AC61" s="26" t="str">
        <x:v>https://github.com/arunpr614/Life-Reflection/issues/57</x:v>
      </x:c>
    </x:row>
    <x:row r="62" ht="90" customHeight="1">
      <x:c r="A62" s="26" t="str">
        <x:v>ARCH-R10-001</x:v>
      </x:c>
      <x:c r="B62" s="26" t="str">
        <x:v>Migration/Inventory/Backup/Rollback Runbook</x:v>
      </x:c>
      <x:c r="C62" s="26" t="str">
        <x:v>Backlog</x:v>
      </x:c>
      <x:c r="D62" s="26" t="str">
        <x:v>Incomplete</x:v>
      </x:c>
      <x:c r="E62" s="26" t="str">
        <x:v>No</x:v>
      </x:c>
      <x:c r="F62" s="26" t="str">
        <x:v>trigger-only-no-execution</x:v>
      </x:c>
      <x:c r="G62" s="26" t="str">
        <x:v>R10</x:v>
      </x:c>
      <x:c r="H62" s="26" t="str">
        <x:v>Architecture</x:v>
      </x:c>
      <x:c r="I62" s="26" t="str">
        <x:v>Technical Architect</x:v>
      </x:c>
      <x:c r="J62" s="26" t="str">
        <x:v>Medium</x:v>
      </x:c>
      <x:c r="K62" s="35"/>
      <x:c r="L62" s="35"/>
      <x:c r="M62" s="26" t="str">
        <x:f>IF(OR(K62="",L62=""),"",L62-K62+1)</x:f>
      </x:c>
      <x:c r="N62" s="26" t="str">
        <x:v>LID-OPS-006, LID-OPS-007, LID-OPS-008, LID-OPS-011, LID-OPS-014, LID-OPS-018</x:v>
      </x:c>
      <x:c r="O62" s="26" t="str">
        <x:v>PID-R10-001, REL-R9-001</x:v>
      </x:c>
      <x:c r="P62" s="26" t="str">
        <x:v>https://github.com/arunpr614/Life-Reflection/blob/main/docs/product/releases/PID-R10-OBJECT-STORE-TRANSITION.md</x:v>
      </x:c>
      <x:c r="Q62" s="26" t="str">
        <x:v>https://github.com/arunpr614/Life-Reflection/blob/main/docs/work-items/ARCH-R10-001/P0-ARCH-R10-001-PRD.md</x:v>
      </x:c>
      <x:c r="R62" s="26" t="str">
        <x:v>https://github.com/arunpr614/Life-Reflection/blob/main/docs/work-items/ARCH-R10-001/P0-ARCH-R10-001-TECHNICAL-PLAN.md</x:v>
      </x:c>
      <x:c r="S62" s="26" t="str">
        <x:v>https://github.com/arunpr614/Life-Reflection/blob/main/docs/work-items/ARCH-R10-001/P0-ARCH-R10-001-DESIGN-SPEC.md</x:v>
      </x:c>
      <x:c r="T62" s="26" t="str">
        <x:v>https://github.com/arunpr614/Life-Reflection/blob/main/docs/work-items/ARCH-R10-001/P0-ARCH-R10-001-QA-PLAN.md</x:v>
      </x:c>
      <x:c r="U62" s="26" t="str">
        <x:v>https://github.com/arunpr614/Life-Reflection/blob/main/docs/work-items/ARCH-R10-001/P0-ARCH-R10-001-DELIVERY-CHECKLIST.md</x:v>
      </x:c>
      <x:c r="V62" s="26" t="str">
        <x:v>https://github.com/arunpr614/Life-Reflection/blob/main/docs/work-items/ARCH-R10-001/P0-ARCH-R10-001-COUNCIL-READINESS.md</x:v>
      </x:c>
      <x:c r="W62" s="26" t="str">
        <x:v>https://github.com/arunpr614/Life-Reflection/blob/main/docs/council/UX-DESIGN-REVIEW.md</x:v>
      </x:c>
      <x:c r="X62" s="26" t="str">
        <x:v>https://github.com/arunpr614/Life-Reflection/blob/main/docs/architecture/PHASE1-IMPLEMENTATION-PLAN.md</x:v>
      </x:c>
      <x:c r="Y62" s="26" t="str">
        <x:v>Define complete pagination/inventory, encrypted keys, dual-write/copy, reconciliation, remote backup/restore, reversible pointers, observation, and rollback.</x:v>
      </x:c>
      <x:c r="Z62" s="26" t="str">
        <x:v>Approved task-specific technical plan for ARCH-R10-001 — Migration/Inventory/Backup/Rollback Runbook links owned modules, ADRs, threats/data flows, interfaces/data shapes, capacity, migration, restore, rollback, and Architect sign-off.</x:v>
      </x:c>
      <x:c r="AA62" s="26" t="str">
        <x:v>No personal-data mutation is authorized by this task; it must define or prove reversible deployment and recovery before dependent implementation.</x:v>
      </x:c>
      <x:c r="AB62" s="26" t="str">
        <x:v>Move to Done only when the named task evidence exists; prototype or document intent cannot prove implementation or release completion.</x:v>
      </x:c>
      <x:c r="AC62" s="26" t="str">
        <x:v>https://github.com/arunpr614/Life-Reflection/issues/58</x:v>
      </x:c>
    </x:row>
    <x:row r="63" ht="90" customHeight="1">
      <x:c r="A63" s="26" t="str">
        <x:v>REL-R10-001</x:v>
      </x:c>
      <x:c r="B63" s="26" t="str">
        <x:v>Conditional Transition Acceptance</x:v>
      </x:c>
      <x:c r="C63" s="26" t="str">
        <x:v>Backlog</x:v>
      </x:c>
      <x:c r="D63" s="26" t="str">
        <x:v>Incomplete</x:v>
      </x:c>
      <x:c r="E63" s="26" t="str">
        <x:v>No</x:v>
      </x:c>
      <x:c r="F63" s="26" t="str">
        <x:v>trigger-only-no-execution</x:v>
      </x:c>
      <x:c r="G63" s="26" t="str">
        <x:v>R10</x:v>
      </x:c>
      <x:c r="H63" s="26" t="str">
        <x:v>Release acceptance</x:v>
      </x:c>
      <x:c r="I63" s="26" t="str">
        <x:v>Project Manager + Independent QA</x:v>
      </x:c>
      <x:c r="J63" s="26" t="str">
        <x:v>Medium</x:v>
      </x:c>
      <x:c r="K63" s="35"/>
      <x:c r="L63" s="35"/>
      <x:c r="M63" s="26" t="str">
        <x:f>IF(OR(K63="",L63=""),"",L63-K63+1)</x:f>
      </x:c>
      <x:c r="N63" s="26" t="str">
        <x:v>LID-OPS-006, LID-OPS-007, LID-OPS-008, LID-OPS-011, LID-OPS-014, LID-OPS-018</x:v>
      </x:c>
      <x:c r="O63" s="26" t="str">
        <x:v>ARCH-R10-001</x:v>
      </x:c>
      <x:c r="P63" s="26" t="str">
        <x:v>https://github.com/arunpr614/Life-Reflection/blob/main/docs/product/releases/PID-R10-OBJECT-STORE-TRANSITION.md</x:v>
      </x:c>
      <x:c r="Q63" s="26" t="str">
        <x:v>https://github.com/arunpr614/Life-Reflection/blob/main/docs/work-items/REL-R10-001/P0-REL-R10-001-PRD.md</x:v>
      </x:c>
      <x:c r="R63" s="26" t="str">
        <x:v>https://github.com/arunpr614/Life-Reflection/blob/main/docs/work-items/REL-R10-001/P0-REL-R10-001-TECHNICAL-PLAN.md</x:v>
      </x:c>
      <x:c r="S63" s="26" t="str">
        <x:v>https://github.com/arunpr614/Life-Reflection/blob/main/docs/work-items/REL-R10-001/P0-REL-R10-001-DESIGN-SPEC.md</x:v>
      </x:c>
      <x:c r="T63" s="26" t="str">
        <x:v>https://github.com/arunpr614/Life-Reflection/blob/main/docs/work-items/REL-R10-001/P0-REL-R10-001-QA-PLAN.md</x:v>
      </x:c>
      <x:c r="U63" s="26" t="str">
        <x:v>https://github.com/arunpr614/Life-Reflection/blob/main/docs/work-items/REL-R10-001/P0-REL-R10-001-DELIVERY-CHECKLIST.md</x:v>
      </x:c>
      <x:c r="V63" s="26" t="str">
        <x:v>https://github.com/arunpr614/Life-Reflection/blob/main/docs/work-items/REL-R10-001/P0-REL-R10-001-COUNCIL-READINESS.md</x:v>
      </x:c>
      <x:c r="W63" s="26" t="str">
        <x:v>https://github.com/arunpr614/Life-Reflection/blob/main/docs/council/UX-DESIGN-REVIEW.md</x:v>
      </x:c>
      <x:c r="X63" s="26" t="str">
        <x:v>https://github.com/arunpr614/Life-Reflection/blob/main/docs/architecture/PHASE1-IMPLEMENTATION-PLAN.md</x:v>
      </x:c>
      <x:c r="Y63" s="26" t="str">
        <x:v>After an approved trigger, execute and verify reversible object-store transition before retiring any local authoritative copy.</x:v>
      </x:c>
      <x:c r="Z63" s="26" t="str">
        <x:v>Release acceptance for REL-R10-001 — Conditional Transition Acceptance links independent QA, five-seat review, every task-specific dossier, backup/separate-path restore for each new shape, rollback, defect gate, and proceed/hold/rollback record; a human attestation is included only for a named non-delegable act.</x:v>
      </x:c>
      <x:c r="AA63" s="26" t="str">
        <x:v>Validates rollback and restore for every persistent shape introduced by the milestone; acceptance never substitutes a successful backup upload for restore evidence.</x:v>
      </x:c>
      <x:c r="AB63" s="26" t="str">
        <x:v>Move to Done only when the named task evidence exists; prototype or document intent cannot prove implementation or release completion.</x:v>
      </x:c>
      <x:c r="AC63" s="26" t="str">
        <x:v>https://github.com/arunpr614/Life-Reflection/issues/59</x:v>
      </x:c>
    </x:row>
  </x:sheetData>
  <x:mergeCells>
    <x:mergeCell ref="A1:AC2"/>
    <x:mergeCell ref="A3:AC3"/>
  </x:mergeCells>
  <x:conditionalFormatting sqref="C6:C63">
    <x:cfRule type="containsText" dxfId="4" priority="1" operator="containsText" text="Backlog"/>
    <x:cfRule type="containsText" dxfId="5" priority="2" operator="containsText" text="Next"/>
    <x:cfRule type="containsText" dxfId="6" priority="3" operator="containsText" text="In progress"/>
    <x:cfRule type="containsText" dxfId="7" priority="4" operator="containsText" text="Done"/>
  </x:conditionalFormatting>
  <x:conditionalFormatting sqref="D6:D63">
    <x:cfRule type="containsText" dxfId="8" priority="5" operator="containsText" text="Incomplete"/>
    <x:cfRule type="containsText" dxfId="9" priority="6" operator="containsText" text="Ready"/>
  </x:conditionalFormatting>
  <x:conditionalFormatting sqref="E6:E63">
    <x:cfRule type="containsText" dxfId="10" priority="7" operator="containsText" text="Yes"/>
    <x:cfRule type="containsText" dxfId="11" priority="8" operator="containsText" text="No"/>
  </x:conditionalFormatting>
  <x:dataValidations count="3">
    <x:dataValidation type="list" sqref="C6:C63">
      <x:formula1>"Backlog,Next,In progress,Done"</x:formula1>
    </x:dataValidation>
    <x:dataValidation type="list" sqref="G6:G63">
      <x:formula1>"P0,R0,R1,R2,R3,R4,R5,R6,R7,R8,R9,R10"</x:formula1>
    </x:dataValidation>
    <x:dataValidation type="list" sqref="J6:J63">
      <x:formula1>"High,Medium,Low"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7b930fcc9d2407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34" hidden="0" customWidth="1"/>
    <x:col min="3" max="3" width="14" hidden="0" customWidth="1"/>
    <x:col min="4" max="4" width="16" hidden="0" customWidth="1"/>
    <x:col min="5" max="5" width="11" hidden="0" customWidth="1"/>
    <x:col min="6" max="6" width="11" hidden="0" customWidth="1"/>
    <x:col min="7" max="7" width="13" hidden="0" customWidth="1"/>
    <x:col min="8" max="8" width="13" hidden="0" customWidth="1"/>
    <x:col min="9" max="9" width="9" hidden="0" customWidth="1"/>
    <x:col min="10" max="10" width="9" hidden="0" customWidth="1"/>
    <x:col min="11" max="11" width="9" hidden="0" customWidth="1"/>
    <x:col min="12" max="12" width="9" hidden="0" customWidth="1"/>
    <x:col min="13" max="13" width="9" hidden="0" customWidth="1"/>
    <x:col min="14" max="14" width="9" hidden="0" customWidth="1"/>
    <x:col min="15" max="15" width="9" hidden="0" customWidth="1"/>
    <x:col min="16" max="16" width="9" hidden="0" customWidth="1"/>
    <x:col min="17" max="17" width="9" hidden="0" customWidth="1"/>
    <x:col min="18" max="18" width="9" hidden="0" customWidth="1"/>
    <x:col min="19" max="19" width="9" hidden="0" customWidth="1"/>
    <x:col min="20" max="20" width="9" hidden="0" customWidth="1"/>
    <x:col min="21" max="21" width="9" hidden="0" customWidth="1"/>
    <x:col min="22" max="22" width="9" hidden="0" customWidth="1"/>
    <x:col min="23" max="23" width="9" hidden="0" customWidth="1"/>
    <x:col min="24" max="24" width="9" hidden="0" customWidth="1"/>
    <x:col min="25" max="25" width="9" hidden="0" customWidth="1"/>
    <x:col min="26" max="26" width="9" hidden="0" customWidth="1"/>
    <x:col min="27" max="27" width="9" hidden="0" customWidth="1"/>
    <x:col min="28" max="28" width="9" hidden="0" customWidth="1"/>
    <x:col min="29" max="29" width="9" hidden="0" customWidth="1"/>
    <x:col min="30" max="30" width="9" hidden="0" customWidth="1"/>
    <x:col min="31" max="31" width="9" hidden="0" customWidth="1"/>
    <x:col min="32" max="32" width="9" hidden="0" customWidth="1"/>
    <x:col min="33" max="33" width="9" hidden="0" customWidth="1"/>
    <x:col min="34" max="34" width="9" hidden="0" customWidth="1"/>
    <x:col min="35" max="35" width="9" hidden="0" customWidth="1"/>
    <x:col min="36" max="36" width="9" hidden="0" customWidth="1"/>
    <x:col min="37" max="37" width="9" hidden="0" customWidth="1"/>
    <x:col min="38" max="38" width="9" hidden="0" customWidth="1"/>
    <x:col min="39" max="39" width="9" hidden="0" customWidth="1"/>
  </x:cols>
  <x:sheetData>
    <x:row r="1" ht="28" customHeight="1">
      <x:c r="A1" s="5" t="str">
        <x:v>Task Roadmap Timeline — Weekly Planning View</x:v>
      </x:c>
      <x:c r="B1" s="5" t="str">
        <x:v>Task Roadmap Timeline — Weekly Planning View</x:v>
      </x:c>
      <x:c r="C1" s="5" t="str">
        <x:v>Task Roadmap Timeline — Weekly Planning View</x:v>
      </x:c>
      <x:c r="D1" s="5" t="str">
        <x:v>Task Roadmap Timeline — Weekly Planning View</x:v>
      </x:c>
      <x:c r="E1" s="5" t="str">
        <x:v>Task Roadmap Timeline — Weekly Planning View</x:v>
      </x:c>
      <x:c r="F1" s="5" t="str">
        <x:v>Task Roadmap Timeline — Weekly Planning View</x:v>
      </x:c>
      <x:c r="G1" s="5" t="str">
        <x:v>Task Roadmap Timeline — Weekly Planning View</x:v>
      </x:c>
      <x:c r="H1" s="5" t="str">
        <x:v>Task Roadmap Timeline — Weekly Planning View</x:v>
      </x:c>
      <x:c r="I1" s="5" t="str">
        <x:v>Task Roadmap Timeline — Weekly Planning View</x:v>
      </x:c>
      <x:c r="J1" s="5" t="str">
        <x:v>Task Roadmap Timeline — Weekly Planning View</x:v>
      </x:c>
      <x:c r="K1" s="5" t="str">
        <x:v>Task Roadmap Timeline — Weekly Planning View</x:v>
      </x:c>
      <x:c r="L1" s="5" t="str">
        <x:v>Task Roadmap Timeline — Weekly Planning View</x:v>
      </x:c>
      <x:c r="M1" s="5" t="str">
        <x:v>Task Roadmap Timeline — Weekly Planning View</x:v>
      </x:c>
      <x:c r="N1" s="5" t="str">
        <x:v>Task Roadmap Timeline — Weekly Planning View</x:v>
      </x:c>
      <x:c r="O1" s="5" t="str">
        <x:v>Task Roadmap Timeline — Weekly Planning View</x:v>
      </x:c>
      <x:c r="P1" s="5" t="str">
        <x:v>Task Roadmap Timeline — Weekly Planning View</x:v>
      </x:c>
      <x:c r="Q1" s="5" t="str">
        <x:v>Task Roadmap Timeline — Weekly Planning View</x:v>
      </x:c>
      <x:c r="R1" s="5" t="str">
        <x:v>Task Roadmap Timeline — Weekly Planning View</x:v>
      </x:c>
      <x:c r="S1" s="5" t="str">
        <x:v>Task Roadmap Timeline — Weekly Planning View</x:v>
      </x:c>
      <x:c r="T1" s="5" t="str">
        <x:v>Task Roadmap Timeline — Weekly Planning View</x:v>
      </x:c>
      <x:c r="U1" s="5" t="str">
        <x:v>Task Roadmap Timeline — Weekly Planning View</x:v>
      </x:c>
      <x:c r="V1" s="5" t="str">
        <x:v>Task Roadmap Timeline — Weekly Planning View</x:v>
      </x:c>
      <x:c r="W1" s="5" t="str">
        <x:v>Task Roadmap Timeline — Weekly Planning View</x:v>
      </x:c>
      <x:c r="X1" s="5" t="str">
        <x:v>Task Roadmap Timeline — Weekly Planning View</x:v>
      </x:c>
      <x:c r="Y1" s="5" t="str">
        <x:v>Task Roadmap Timeline — Weekly Planning View</x:v>
      </x:c>
      <x:c r="Z1" s="5" t="str">
        <x:v>Task Roadmap Timeline — Weekly Planning View</x:v>
      </x:c>
      <x:c r="AA1" s="5" t="str">
        <x:v>Task Roadmap Timeline — Weekly Planning View</x:v>
      </x:c>
      <x:c r="AB1" s="5" t="str">
        <x:v>Task Roadmap Timeline — Weekly Planning View</x:v>
      </x:c>
      <x:c r="AC1" s="5" t="str">
        <x:v>Task Roadmap Timeline — Weekly Planning View</x:v>
      </x:c>
      <x:c r="AD1" s="5" t="str">
        <x:v>Task Roadmap Timeline — Weekly Planning View</x:v>
      </x:c>
      <x:c r="AE1" s="5" t="str">
        <x:v>Task Roadmap Timeline — Weekly Planning View</x:v>
      </x:c>
      <x:c r="AF1" s="5" t="str">
        <x:v>Task Roadmap Timeline — Weekly Planning View</x:v>
      </x:c>
      <x:c r="AG1" s="5" t="str">
        <x:v>Task Roadmap Timeline — Weekly Planning View</x:v>
      </x:c>
      <x:c r="AH1" s="5" t="str">
        <x:v>Task Roadmap Timeline — Weekly Planning View</x:v>
      </x:c>
      <x:c r="AI1" s="5" t="str">
        <x:v>Task Roadmap Timeline — Weekly Planning View</x:v>
      </x:c>
      <x:c r="AJ1" s="5" t="str">
        <x:v>Task Roadmap Timeline — Weekly Planning View</x:v>
      </x:c>
      <x:c r="AK1" s="5" t="str">
        <x:v>Task Roadmap Timeline — Weekly Planning View</x:v>
      </x:c>
      <x:c r="AL1" s="5" t="str">
        <x:v>Task Roadmap Timeline — Weekly Planning View</x:v>
      </x:c>
      <x:c r="AM1" s="5" t="str">
        <x:v>Task Roadmap Timeline — Weekly Planning View</x:v>
      </x:c>
    </x:row>
    <x:row r="2" ht="28" customHeight="1">
      <x:c r="A2" s="5" t="str">
        <x:v>Task Roadmap Timeline — Weekly Planning View</x:v>
      </x:c>
      <x:c r="B2" s="5" t="str">
        <x:v>Task Roadmap Timeline — Weekly Planning View</x:v>
      </x:c>
      <x:c r="C2" s="5" t="str">
        <x:v>Task Roadmap Timeline — Weekly Planning View</x:v>
      </x:c>
      <x:c r="D2" s="5" t="str">
        <x:v>Task Roadmap Timeline — Weekly Planning View</x:v>
      </x:c>
      <x:c r="E2" s="5" t="str">
        <x:v>Task Roadmap Timeline — Weekly Planning View</x:v>
      </x:c>
      <x:c r="F2" s="5" t="str">
        <x:v>Task Roadmap Timeline — Weekly Planning View</x:v>
      </x:c>
      <x:c r="G2" s="5" t="str">
        <x:v>Task Roadmap Timeline — Weekly Planning View</x:v>
      </x:c>
      <x:c r="H2" s="5" t="str">
        <x:v>Task Roadmap Timeline — Weekly Planning View</x:v>
      </x:c>
      <x:c r="I2" s="5" t="str">
        <x:v>Task Roadmap Timeline — Weekly Planning View</x:v>
      </x:c>
      <x:c r="J2" s="5" t="str">
        <x:v>Task Roadmap Timeline — Weekly Planning View</x:v>
      </x:c>
      <x:c r="K2" s="5" t="str">
        <x:v>Task Roadmap Timeline — Weekly Planning View</x:v>
      </x:c>
      <x:c r="L2" s="5" t="str">
        <x:v>Task Roadmap Timeline — Weekly Planning View</x:v>
      </x:c>
      <x:c r="M2" s="5" t="str">
        <x:v>Task Roadmap Timeline — Weekly Planning View</x:v>
      </x:c>
      <x:c r="N2" s="5" t="str">
        <x:v>Task Roadmap Timeline — Weekly Planning View</x:v>
      </x:c>
      <x:c r="O2" s="5" t="str">
        <x:v>Task Roadmap Timeline — Weekly Planning View</x:v>
      </x:c>
      <x:c r="P2" s="5" t="str">
        <x:v>Task Roadmap Timeline — Weekly Planning View</x:v>
      </x:c>
      <x:c r="Q2" s="5" t="str">
        <x:v>Task Roadmap Timeline — Weekly Planning View</x:v>
      </x:c>
      <x:c r="R2" s="5" t="str">
        <x:v>Task Roadmap Timeline — Weekly Planning View</x:v>
      </x:c>
      <x:c r="S2" s="5" t="str">
        <x:v>Task Roadmap Timeline — Weekly Planning View</x:v>
      </x:c>
      <x:c r="T2" s="5" t="str">
        <x:v>Task Roadmap Timeline — Weekly Planning View</x:v>
      </x:c>
      <x:c r="U2" s="5" t="str">
        <x:v>Task Roadmap Timeline — Weekly Planning View</x:v>
      </x:c>
      <x:c r="V2" s="5" t="str">
        <x:v>Task Roadmap Timeline — Weekly Planning View</x:v>
      </x:c>
      <x:c r="W2" s="5" t="str">
        <x:v>Task Roadmap Timeline — Weekly Planning View</x:v>
      </x:c>
      <x:c r="X2" s="5" t="str">
        <x:v>Task Roadmap Timeline — Weekly Planning View</x:v>
      </x:c>
      <x:c r="Y2" s="5" t="str">
        <x:v>Task Roadmap Timeline — Weekly Planning View</x:v>
      </x:c>
      <x:c r="Z2" s="5" t="str">
        <x:v>Task Roadmap Timeline — Weekly Planning View</x:v>
      </x:c>
      <x:c r="AA2" s="5" t="str">
        <x:v>Task Roadmap Timeline — Weekly Planning View</x:v>
      </x:c>
      <x:c r="AB2" s="5" t="str">
        <x:v>Task Roadmap Timeline — Weekly Planning View</x:v>
      </x:c>
      <x:c r="AC2" s="5" t="str">
        <x:v>Task Roadmap Timeline — Weekly Planning View</x:v>
      </x:c>
      <x:c r="AD2" s="5" t="str">
        <x:v>Task Roadmap Timeline — Weekly Planning View</x:v>
      </x:c>
      <x:c r="AE2" s="5" t="str">
        <x:v>Task Roadmap Timeline — Weekly Planning View</x:v>
      </x:c>
      <x:c r="AF2" s="5" t="str">
        <x:v>Task Roadmap Timeline — Weekly Planning View</x:v>
      </x:c>
      <x:c r="AG2" s="5" t="str">
        <x:v>Task Roadmap Timeline — Weekly Planning View</x:v>
      </x:c>
      <x:c r="AH2" s="5" t="str">
        <x:v>Task Roadmap Timeline — Weekly Planning View</x:v>
      </x:c>
      <x:c r="AI2" s="5" t="str">
        <x:v>Task Roadmap Timeline — Weekly Planning View</x:v>
      </x:c>
      <x:c r="AJ2" s="5" t="str">
        <x:v>Task Roadmap Timeline — Weekly Planning View</x:v>
      </x:c>
      <x:c r="AK2" s="5" t="str">
        <x:v>Task Roadmap Timeline — Weekly Planning View</x:v>
      </x:c>
      <x:c r="AL2" s="5" t="str">
        <x:v>Task Roadmap Timeline — Weekly Planning View</x:v>
      </x:c>
      <x:c r="AM2" s="5" t="str">
        <x:v>Task Roadmap Timeline — Weekly Planning View</x:v>
      </x:c>
    </x:row>
    <x:row r="3" ht="34" customHeight="1">
      <x:c r="A3" s="14" t="str">
        <x:v>Bars show proposed task windows only; Readiness and Allowed are independent start gates. Blank R10 rows are intentional. Status colors: gray Backlog, blue Next, amber In progress, green Done.</x:v>
      </x:c>
      <x:c r="B3" s="15" t="str">
        <x:v>Bars show proposed task windows only; Readiness and Allowed are independent start gates. Blank R10 rows are intentional. Status colors: gray Backlog, blue Next, amber In progress, green Done.</x:v>
      </x:c>
      <x:c r="C3" s="15" t="str">
        <x:v>Bars show proposed task windows only; Readiness and Allowed are independent start gates. Blank R10 rows are intentional. Status colors: gray Backlog, blue Next, amber In progress, green Done.</x:v>
      </x:c>
      <x:c r="D3" s="15" t="str">
        <x:v>Bars show proposed task windows only; Readiness and Allowed are independent start gates. Blank R10 rows are intentional. Status colors: gray Backlog, blue Next, amber In progress, green Done.</x:v>
      </x:c>
      <x:c r="E3" s="15" t="str">
        <x:v>Bars show proposed task windows only; Readiness and Allowed are independent start gates. Blank R10 rows are intentional. Status colors: gray Backlog, blue Next, amber In progress, green Done.</x:v>
      </x:c>
      <x:c r="F3" s="15" t="str">
        <x:v>Bars show proposed task windows only; Readiness and Allowed are independent start gates. Blank R10 rows are intentional. Status colors: gray Backlog, blue Next, amber In progress, green Done.</x:v>
      </x:c>
      <x:c r="G3" s="15" t="str">
        <x:v>Bars show proposed task windows only; Readiness and Allowed are independent start gates. Blank R10 rows are intentional. Status colors: gray Backlog, blue Next, amber In progress, green Done.</x:v>
      </x:c>
      <x:c r="H3" s="15" t="str">
        <x:v>Bars show proposed task windows only; Readiness and Allowed are independent start gates. Blank R10 rows are intentional. Status colors: gray Backlog, blue Next, amber In progress, green Done.</x:v>
      </x:c>
      <x:c r="I3" s="15" t="str">
        <x:v>Bars show proposed task windows only; Readiness and Allowed are independent start gates. Blank R10 rows are intentional. Status colors: gray Backlog, blue Next, amber In progress, green Done.</x:v>
      </x:c>
      <x:c r="J3" s="15" t="str">
        <x:v>Bars show proposed task windows only; Readiness and Allowed are independent start gates. Blank R10 rows are intentional. Status colors: gray Backlog, blue Next, amber In progress, green Done.</x:v>
      </x:c>
      <x:c r="K3" s="15" t="str">
        <x:v>Bars show proposed task windows only; Readiness and Allowed are independent start gates. Blank R10 rows are intentional. Status colors: gray Backlog, blue Next, amber In progress, green Done.</x:v>
      </x:c>
      <x:c r="L3" s="15" t="str">
        <x:v>Bars show proposed task windows only; Readiness and Allowed are independent start gates. Blank R10 rows are intentional. Status colors: gray Backlog, blue Next, amber In progress, green Done.</x:v>
      </x:c>
      <x:c r="M3" s="15" t="str">
        <x:v>Bars show proposed task windows only; Readiness and Allowed are independent start gates. Blank R10 rows are intentional. Status colors: gray Backlog, blue Next, amber In progress, green Done.</x:v>
      </x:c>
      <x:c r="N3" s="15" t="str">
        <x:v>Bars show proposed task windows only; Readiness and Allowed are independent start gates. Blank R10 rows are intentional. Status colors: gray Backlog, blue Next, amber In progress, green Done.</x:v>
      </x:c>
      <x:c r="O3" s="15" t="str">
        <x:v>Bars show proposed task windows only; Readiness and Allowed are independent start gates. Blank R10 rows are intentional. Status colors: gray Backlog, blue Next, amber In progress, green Done.</x:v>
      </x:c>
      <x:c r="P3" s="15" t="str">
        <x:v>Bars show proposed task windows only; Readiness and Allowed are independent start gates. Blank R10 rows are intentional. Status colors: gray Backlog, blue Next, amber In progress, green Done.</x:v>
      </x:c>
      <x:c r="Q3" s="15" t="str">
        <x:v>Bars show proposed task windows only; Readiness and Allowed are independent start gates. Blank R10 rows are intentional. Status colors: gray Backlog, blue Next, amber In progress, green Done.</x:v>
      </x:c>
      <x:c r="R3" s="15" t="str">
        <x:v>Bars show proposed task windows only; Readiness and Allowed are independent start gates. Blank R10 rows are intentional. Status colors: gray Backlog, blue Next, amber In progress, green Done.</x:v>
      </x:c>
      <x:c r="S3" s="15" t="str">
        <x:v>Bars show proposed task windows only; Readiness and Allowed are independent start gates. Blank R10 rows are intentional. Status colors: gray Backlog, blue Next, amber In progress, green Done.</x:v>
      </x:c>
      <x:c r="T3" s="15" t="str">
        <x:v>Bars show proposed task windows only; Readiness and Allowed are independent start gates. Blank R10 rows are intentional. Status colors: gray Backlog, blue Next, amber In progress, green Done.</x:v>
      </x:c>
      <x:c r="U3" s="15" t="str">
        <x:v>Bars show proposed task windows only; Readiness and Allowed are independent start gates. Blank R10 rows are intentional. Status colors: gray Backlog, blue Next, amber In progress, green Done.</x:v>
      </x:c>
      <x:c r="V3" s="15" t="str">
        <x:v>Bars show proposed task windows only; Readiness and Allowed are independent start gates. Blank R10 rows are intentional. Status colors: gray Backlog, blue Next, amber In progress, green Done.</x:v>
      </x:c>
      <x:c r="W3" s="15" t="str">
        <x:v>Bars show proposed task windows only; Readiness and Allowed are independent start gates. Blank R10 rows are intentional. Status colors: gray Backlog, blue Next, amber In progress, green Done.</x:v>
      </x:c>
      <x:c r="X3" s="15" t="str">
        <x:v>Bars show proposed task windows only; Readiness and Allowed are independent start gates. Blank R10 rows are intentional. Status colors: gray Backlog, blue Next, amber In progress, green Done.</x:v>
      </x:c>
      <x:c r="Y3" s="15" t="str">
        <x:v>Bars show proposed task windows only; Readiness and Allowed are independent start gates. Blank R10 rows are intentional. Status colors: gray Backlog, blue Next, amber In progress, green Done.</x:v>
      </x:c>
      <x:c r="Z3" s="15" t="str">
        <x:v>Bars show proposed task windows only; Readiness and Allowed are independent start gates. Blank R10 rows are intentional. Status colors: gray Backlog, blue Next, amber In progress, green Done.</x:v>
      </x:c>
      <x:c r="AA3" s="15" t="str">
        <x:v>Bars show proposed task windows only; Readiness and Allowed are independent start gates. Blank R10 rows are intentional. Status colors: gray Backlog, blue Next, amber In progress, green Done.</x:v>
      </x:c>
      <x:c r="AB3" s="15" t="str">
        <x:v>Bars show proposed task windows only; Readiness and Allowed are independent start gates. Blank R10 rows are intentional. Status colors: gray Backlog, blue Next, amber In progress, green Done.</x:v>
      </x:c>
      <x:c r="AC3" s="15" t="str">
        <x:v>Bars show proposed task windows only; Readiness and Allowed are independent start gates. Blank R10 rows are intentional. Status colors: gray Backlog, blue Next, amber In progress, green Done.</x:v>
      </x:c>
      <x:c r="AD3" s="15" t="str">
        <x:v>Bars show proposed task windows only; Readiness and Allowed are independent start gates. Blank R10 rows are intentional. Status colors: gray Backlog, blue Next, amber In progress, green Done.</x:v>
      </x:c>
      <x:c r="AE3" s="15" t="str">
        <x:v>Bars show proposed task windows only; Readiness and Allowed are independent start gates. Blank R10 rows are intentional. Status colors: gray Backlog, blue Next, amber In progress, green Done.</x:v>
      </x:c>
      <x:c r="AF3" s="15" t="str">
        <x:v>Bars show proposed task windows only; Readiness and Allowed are independent start gates. Blank R10 rows are intentional. Status colors: gray Backlog, blue Next, amber In progress, green Done.</x:v>
      </x:c>
      <x:c r="AG3" s="15" t="str">
        <x:v>Bars show proposed task windows only; Readiness and Allowed are independent start gates. Blank R10 rows are intentional. Status colors: gray Backlog, blue Next, amber In progress, green Done.</x:v>
      </x:c>
      <x:c r="AH3" s="15" t="str">
        <x:v>Bars show proposed task windows only; Readiness and Allowed are independent start gates. Blank R10 rows are intentional. Status colors: gray Backlog, blue Next, amber In progress, green Done.</x:v>
      </x:c>
      <x:c r="AI3" s="15" t="str">
        <x:v>Bars show proposed task windows only; Readiness and Allowed are independent start gates. Blank R10 rows are intentional. Status colors: gray Backlog, blue Next, amber In progress, green Done.</x:v>
      </x:c>
      <x:c r="AJ3" s="15" t="str">
        <x:v>Bars show proposed task windows only; Readiness and Allowed are independent start gates. Blank R10 rows are intentional. Status colors: gray Backlog, blue Next, amber In progress, green Done.</x:v>
      </x:c>
      <x:c r="AK3" s="15" t="str">
        <x:v>Bars show proposed task windows only; Readiness and Allowed are independent start gates. Blank R10 rows are intentional. Status colors: gray Backlog, blue Next, amber In progress, green Done.</x:v>
      </x:c>
      <x:c r="AL3" s="15" t="str">
        <x:v>Bars show proposed task windows only; Readiness and Allowed are independent start gates. Blank R10 rows are intentional. Status colors: gray Backlog, blue Next, amber In progress, green Done.</x:v>
      </x:c>
      <x:c r="AM3" s="16" t="str">
        <x:v>Bars show proposed task windows only; Readiness and Allowed are independent start gates. Blank R10 rows are intentional. Status colors: gray Backlog, blue Next, amber In progress, green Done.</x:v>
      </x:c>
    </x:row>
    <x:row r="5" ht="30" customHeight="1">
      <x:c r="A5" s="22" t="str">
        <x:v>ID</x:v>
      </x:c>
      <x:c r="B5" s="22" t="str">
        <x:v>Title</x:v>
      </x:c>
      <x:c r="C5" s="22" t="str">
        <x:v>Status</x:v>
      </x:c>
      <x:c r="D5" s="22" t="str">
        <x:v>Readiness</x:v>
      </x:c>
      <x:c r="E5" s="22" t="str">
        <x:v>Allowed</x:v>
      </x:c>
      <x:c r="F5" s="22" t="str">
        <x:v>Milestone</x:v>
      </x:c>
      <x:c r="G5" s="22" t="str">
        <x:v>Start</x:v>
      </x:c>
      <x:c r="H5" s="22" t="str">
        <x:v>Target</x:v>
      </x:c>
      <x:c r="I5" s="42" t="n">
        <x:v>46251</x:v>
      </x:c>
      <x:c r="J5" s="42" t="n">
        <x:v>46258</x:v>
      </x:c>
      <x:c r="K5" s="42" t="n">
        <x:v>46265</x:v>
      </x:c>
      <x:c r="L5" s="42" t="n">
        <x:v>46272</x:v>
      </x:c>
      <x:c r="M5" s="42" t="n">
        <x:v>46279</x:v>
      </x:c>
      <x:c r="N5" s="42" t="n">
        <x:v>46286</x:v>
      </x:c>
      <x:c r="O5" s="42" t="n">
        <x:v>46293</x:v>
      </x:c>
      <x:c r="P5" s="42" t="n">
        <x:v>46300</x:v>
      </x:c>
      <x:c r="Q5" s="42" t="n">
        <x:v>46307</x:v>
      </x:c>
      <x:c r="R5" s="42" t="n">
        <x:v>46314</x:v>
      </x:c>
      <x:c r="S5" s="42" t="n">
        <x:v>46321</x:v>
      </x:c>
      <x:c r="T5" s="42" t="n">
        <x:v>46328</x:v>
      </x:c>
      <x:c r="U5" s="42" t="n">
        <x:v>46335</x:v>
      </x:c>
      <x:c r="V5" s="42" t="n">
        <x:v>46342</x:v>
      </x:c>
      <x:c r="W5" s="42" t="n">
        <x:v>46349</x:v>
      </x:c>
      <x:c r="X5" s="42" t="n">
        <x:v>46356</x:v>
      </x:c>
      <x:c r="Y5" s="42" t="n">
        <x:v>46363</x:v>
      </x:c>
      <x:c r="Z5" s="42" t="n">
        <x:v>46370</x:v>
      </x:c>
      <x:c r="AA5" s="42" t="n">
        <x:v>46377</x:v>
      </x:c>
      <x:c r="AB5" s="42" t="n">
        <x:v>46384</x:v>
      </x:c>
      <x:c r="AC5" s="42" t="n">
        <x:v>46391</x:v>
      </x:c>
      <x:c r="AD5" s="42" t="n">
        <x:v>46398</x:v>
      </x:c>
      <x:c r="AE5" s="42" t="n">
        <x:v>46405</x:v>
      </x:c>
      <x:c r="AF5" s="42" t="n">
        <x:v>46412</x:v>
      </x:c>
      <x:c r="AG5" s="42" t="n">
        <x:v>46419</x:v>
      </x:c>
      <x:c r="AH5" s="42" t="n">
        <x:v>46426</x:v>
      </x:c>
      <x:c r="AI5" s="42" t="n">
        <x:v>46433</x:v>
      </x:c>
      <x:c r="AJ5" s="42" t="n">
        <x:v>46440</x:v>
      </x:c>
      <x:c r="AK5" s="42" t="n">
        <x:v>46447</x:v>
      </x:c>
      <x:c r="AL5" s="42" t="n">
        <x:v>46454</x:v>
      </x:c>
      <x:c r="AM5" s="42" t="n">
        <x:v>46461</x:v>
      </x:c>
    </x:row>
    <x:row r="6" ht="28" customHeight="1">
      <x:c r="A6" s="26" t="str">
        <x:v>AUD-001</x:v>
      </x:c>
      <x:c r="B6" s="26" t="str">
        <x:v>v5 Feature Audit</x:v>
      </x:c>
      <x:c r="C6" s="26" t="str">
        <x:v>Done</x:v>
      </x:c>
      <x:c r="D6" s="26" t="str">
        <x:v>Incomplete</x:v>
      </x:c>
      <x:c r="E6" s="26" t="str">
        <x:v>No</x:v>
      </x:c>
      <x:c r="F6" s="26" t="str">
        <x:v>P0</x:v>
      </x:c>
      <x:c r="G6" s="35" t="n">
        <x:v>46248</x:v>
      </x:c>
      <x:c r="H6" s="35" t="n">
        <x:v>46248</x:v>
      </x:c>
      <x:c r="I6" s="46" t="str">
        <x:f>IF(OR($G6="",$H6=""),"",IF(AND(I$5&lt;=$H6,I$5+6&gt;=$G6),"■",""))</x:f>
      </x:c>
      <x:c r="J6" s="46" t="str">
        <x:f>IF(OR($G6="",$H6=""),"",IF(AND(J$5&lt;=$H6,J$5+6&gt;=$G6),"■",""))</x:f>
      </x:c>
      <x:c r="K6" s="46" t="str">
        <x:f>IF(OR($G6="",$H6=""),"",IF(AND(K$5&lt;=$H6,K$5+6&gt;=$G6),"■",""))</x:f>
      </x:c>
      <x:c r="L6" s="46" t="str">
        <x:f>IF(OR($G6="",$H6=""),"",IF(AND(L$5&lt;=$H6,L$5+6&gt;=$G6),"■",""))</x:f>
      </x:c>
      <x:c r="M6" s="46" t="str">
        <x:f>IF(OR($G6="",$H6=""),"",IF(AND(M$5&lt;=$H6,M$5+6&gt;=$G6),"■",""))</x:f>
      </x:c>
      <x:c r="N6" s="46" t="str">
        <x:f>IF(OR($G6="",$H6=""),"",IF(AND(N$5&lt;=$H6,N$5+6&gt;=$G6),"■",""))</x:f>
      </x:c>
      <x:c r="O6" s="46" t="str">
        <x:f>IF(OR($G6="",$H6=""),"",IF(AND(O$5&lt;=$H6,O$5+6&gt;=$G6),"■",""))</x:f>
      </x:c>
      <x:c r="P6" s="46" t="str">
        <x:f>IF(OR($G6="",$H6=""),"",IF(AND(P$5&lt;=$H6,P$5+6&gt;=$G6),"■",""))</x:f>
      </x:c>
      <x:c r="Q6" s="46" t="str">
        <x:f>IF(OR($G6="",$H6=""),"",IF(AND(Q$5&lt;=$H6,Q$5+6&gt;=$G6),"■",""))</x:f>
      </x:c>
      <x:c r="R6" s="46" t="str">
        <x:f>IF(OR($G6="",$H6=""),"",IF(AND(R$5&lt;=$H6,R$5+6&gt;=$G6),"■",""))</x:f>
      </x:c>
      <x:c r="S6" s="46" t="str">
        <x:f>IF(OR($G6="",$H6=""),"",IF(AND(S$5&lt;=$H6,S$5+6&gt;=$G6),"■",""))</x:f>
      </x:c>
      <x:c r="T6" s="46" t="str">
        <x:f>IF(OR($G6="",$H6=""),"",IF(AND(T$5&lt;=$H6,T$5+6&gt;=$G6),"■",""))</x:f>
      </x:c>
      <x:c r="U6" s="46" t="str">
        <x:f>IF(OR($G6="",$H6=""),"",IF(AND(U$5&lt;=$H6,U$5+6&gt;=$G6),"■",""))</x:f>
      </x:c>
      <x:c r="V6" s="46" t="str">
        <x:f>IF(OR($G6="",$H6=""),"",IF(AND(V$5&lt;=$H6,V$5+6&gt;=$G6),"■",""))</x:f>
      </x:c>
      <x:c r="W6" s="46" t="str">
        <x:f>IF(OR($G6="",$H6=""),"",IF(AND(W$5&lt;=$H6,W$5+6&gt;=$G6),"■",""))</x:f>
      </x:c>
      <x:c r="X6" s="46" t="str">
        <x:f>IF(OR($G6="",$H6=""),"",IF(AND(X$5&lt;=$H6,X$5+6&gt;=$G6),"■",""))</x:f>
      </x:c>
      <x:c r="Y6" s="46" t="str">
        <x:f>IF(OR($G6="",$H6=""),"",IF(AND(Y$5&lt;=$H6,Y$5+6&gt;=$G6),"■",""))</x:f>
      </x:c>
      <x:c r="Z6" s="46" t="str">
        <x:f>IF(OR($G6="",$H6=""),"",IF(AND(Z$5&lt;=$H6,Z$5+6&gt;=$G6),"■",""))</x:f>
      </x:c>
      <x:c r="AA6" s="46" t="str">
        <x:f>IF(OR($G6="",$H6=""),"",IF(AND(AA$5&lt;=$H6,AA$5+6&gt;=$G6),"■",""))</x:f>
      </x:c>
      <x:c r="AB6" s="46" t="str">
        <x:f>IF(OR($G6="",$H6=""),"",IF(AND(AB$5&lt;=$H6,AB$5+6&gt;=$G6),"■",""))</x:f>
      </x:c>
      <x:c r="AC6" s="46" t="str">
        <x:f>IF(OR($G6="",$H6=""),"",IF(AND(AC$5&lt;=$H6,AC$5+6&gt;=$G6),"■",""))</x:f>
      </x:c>
      <x:c r="AD6" s="46" t="str">
        <x:f>IF(OR($G6="",$H6=""),"",IF(AND(AD$5&lt;=$H6,AD$5+6&gt;=$G6),"■",""))</x:f>
      </x:c>
      <x:c r="AE6" s="46" t="str">
        <x:f>IF(OR($G6="",$H6=""),"",IF(AND(AE$5&lt;=$H6,AE$5+6&gt;=$G6),"■",""))</x:f>
      </x:c>
      <x:c r="AF6" s="46" t="str">
        <x:f>IF(OR($G6="",$H6=""),"",IF(AND(AF$5&lt;=$H6,AF$5+6&gt;=$G6),"■",""))</x:f>
      </x:c>
      <x:c r="AG6" s="46" t="str">
        <x:f>IF(OR($G6="",$H6=""),"",IF(AND(AG$5&lt;=$H6,AG$5+6&gt;=$G6),"■",""))</x:f>
      </x:c>
      <x:c r="AH6" s="46" t="str">
        <x:f>IF(OR($G6="",$H6=""),"",IF(AND(AH$5&lt;=$H6,AH$5+6&gt;=$G6),"■",""))</x:f>
      </x:c>
      <x:c r="AI6" s="46" t="str">
        <x:f>IF(OR($G6="",$H6=""),"",IF(AND(AI$5&lt;=$H6,AI$5+6&gt;=$G6),"■",""))</x:f>
      </x:c>
      <x:c r="AJ6" s="46" t="str">
        <x:f>IF(OR($G6="",$H6=""),"",IF(AND(AJ$5&lt;=$H6,AJ$5+6&gt;=$G6),"■",""))</x:f>
      </x:c>
      <x:c r="AK6" s="46" t="str">
        <x:f>IF(OR($G6="",$H6=""),"",IF(AND(AK$5&lt;=$H6,AK$5+6&gt;=$G6),"■",""))</x:f>
      </x:c>
      <x:c r="AL6" s="46" t="str">
        <x:f>IF(OR($G6="",$H6=""),"",IF(AND(AL$5&lt;=$H6,AL$5+6&gt;=$G6),"■",""))</x:f>
      </x:c>
      <x:c r="AM6" s="46" t="str">
        <x:f>IF(OR($G6="",$H6=""),"",IF(AND(AM$5&lt;=$H6,AM$5+6&gt;=$G6),"■",""))</x:f>
      </x:c>
    </x:row>
    <x:row r="7" ht="28" customHeight="1">
      <x:c r="A7" s="26" t="str">
        <x:v>PC-001</x:v>
      </x:c>
      <x:c r="B7" s="26" t="str">
        <x:v>Integrated Council Planning Package</x:v>
      </x:c>
      <x:c r="C7" s="26" t="str">
        <x:v>Done</x:v>
      </x:c>
      <x:c r="D7" s="26" t="str">
        <x:v>Incomplete</x:v>
      </x:c>
      <x:c r="E7" s="26" t="str">
        <x:v>No</x:v>
      </x:c>
      <x:c r="F7" s="26" t="str">
        <x:v>P0</x:v>
      </x:c>
      <x:c r="G7" s="35" t="n">
        <x:v>46248</x:v>
      </x:c>
      <x:c r="H7" s="35" t="n">
        <x:v>46250</x:v>
      </x:c>
      <x:c r="I7" s="46" t="str">
        <x:f>IF(OR($G7="",$H7=""),"",IF(AND(I$5&lt;=$H7,I$5+6&gt;=$G7),"■",""))</x:f>
      </x:c>
      <x:c r="J7" s="46" t="str">
        <x:f>IF(OR($G7="",$H7=""),"",IF(AND(J$5&lt;=$H7,J$5+6&gt;=$G7),"■",""))</x:f>
      </x:c>
      <x:c r="K7" s="46" t="str">
        <x:f>IF(OR($G7="",$H7=""),"",IF(AND(K$5&lt;=$H7,K$5+6&gt;=$G7),"■",""))</x:f>
      </x:c>
      <x:c r="L7" s="46" t="str">
        <x:f>IF(OR($G7="",$H7=""),"",IF(AND(L$5&lt;=$H7,L$5+6&gt;=$G7),"■",""))</x:f>
      </x:c>
      <x:c r="M7" s="46" t="str">
        <x:f>IF(OR($G7="",$H7=""),"",IF(AND(M$5&lt;=$H7,M$5+6&gt;=$G7),"■",""))</x:f>
      </x:c>
      <x:c r="N7" s="46" t="str">
        <x:f>IF(OR($G7="",$H7=""),"",IF(AND(N$5&lt;=$H7,N$5+6&gt;=$G7),"■",""))</x:f>
      </x:c>
      <x:c r="O7" s="46" t="str">
        <x:f>IF(OR($G7="",$H7=""),"",IF(AND(O$5&lt;=$H7,O$5+6&gt;=$G7),"■",""))</x:f>
      </x:c>
      <x:c r="P7" s="46" t="str">
        <x:f>IF(OR($G7="",$H7=""),"",IF(AND(P$5&lt;=$H7,P$5+6&gt;=$G7),"■",""))</x:f>
      </x:c>
      <x:c r="Q7" s="46" t="str">
        <x:f>IF(OR($G7="",$H7=""),"",IF(AND(Q$5&lt;=$H7,Q$5+6&gt;=$G7),"■",""))</x:f>
      </x:c>
      <x:c r="R7" s="46" t="str">
        <x:f>IF(OR($G7="",$H7=""),"",IF(AND(R$5&lt;=$H7,R$5+6&gt;=$G7),"■",""))</x:f>
      </x:c>
      <x:c r="S7" s="46" t="str">
        <x:f>IF(OR($G7="",$H7=""),"",IF(AND(S$5&lt;=$H7,S$5+6&gt;=$G7),"■",""))</x:f>
      </x:c>
      <x:c r="T7" s="46" t="str">
        <x:f>IF(OR($G7="",$H7=""),"",IF(AND(T$5&lt;=$H7,T$5+6&gt;=$G7),"■",""))</x:f>
      </x:c>
      <x:c r="U7" s="46" t="str">
        <x:f>IF(OR($G7="",$H7=""),"",IF(AND(U$5&lt;=$H7,U$5+6&gt;=$G7),"■",""))</x:f>
      </x:c>
      <x:c r="V7" s="46" t="str">
        <x:f>IF(OR($G7="",$H7=""),"",IF(AND(V$5&lt;=$H7,V$5+6&gt;=$G7),"■",""))</x:f>
      </x:c>
      <x:c r="W7" s="46" t="str">
        <x:f>IF(OR($G7="",$H7=""),"",IF(AND(W$5&lt;=$H7,W$5+6&gt;=$G7),"■",""))</x:f>
      </x:c>
      <x:c r="X7" s="46" t="str">
        <x:f>IF(OR($G7="",$H7=""),"",IF(AND(X$5&lt;=$H7,X$5+6&gt;=$G7),"■",""))</x:f>
      </x:c>
      <x:c r="Y7" s="46" t="str">
        <x:f>IF(OR($G7="",$H7=""),"",IF(AND(Y$5&lt;=$H7,Y$5+6&gt;=$G7),"■",""))</x:f>
      </x:c>
      <x:c r="Z7" s="46" t="str">
        <x:f>IF(OR($G7="",$H7=""),"",IF(AND(Z$5&lt;=$H7,Z$5+6&gt;=$G7),"■",""))</x:f>
      </x:c>
      <x:c r="AA7" s="46" t="str">
        <x:f>IF(OR($G7="",$H7=""),"",IF(AND(AA$5&lt;=$H7,AA$5+6&gt;=$G7),"■",""))</x:f>
      </x:c>
      <x:c r="AB7" s="46" t="str">
        <x:f>IF(OR($G7="",$H7=""),"",IF(AND(AB$5&lt;=$H7,AB$5+6&gt;=$G7),"■",""))</x:f>
      </x:c>
      <x:c r="AC7" s="46" t="str">
        <x:f>IF(OR($G7="",$H7=""),"",IF(AND(AC$5&lt;=$H7,AC$5+6&gt;=$G7),"■",""))</x:f>
      </x:c>
      <x:c r="AD7" s="46" t="str">
        <x:f>IF(OR($G7="",$H7=""),"",IF(AND(AD$5&lt;=$H7,AD$5+6&gt;=$G7),"■",""))</x:f>
      </x:c>
      <x:c r="AE7" s="46" t="str">
        <x:f>IF(OR($G7="",$H7=""),"",IF(AND(AE$5&lt;=$H7,AE$5+6&gt;=$G7),"■",""))</x:f>
      </x:c>
      <x:c r="AF7" s="46" t="str">
        <x:f>IF(OR($G7="",$H7=""),"",IF(AND(AF$5&lt;=$H7,AF$5+6&gt;=$G7),"■",""))</x:f>
      </x:c>
      <x:c r="AG7" s="46" t="str">
        <x:f>IF(OR($G7="",$H7=""),"",IF(AND(AG$5&lt;=$H7,AG$5+6&gt;=$G7),"■",""))</x:f>
      </x:c>
      <x:c r="AH7" s="46" t="str">
        <x:f>IF(OR($G7="",$H7=""),"",IF(AND(AH$5&lt;=$H7,AH$5+6&gt;=$G7),"■",""))</x:f>
      </x:c>
      <x:c r="AI7" s="46" t="str">
        <x:f>IF(OR($G7="",$H7=""),"",IF(AND(AI$5&lt;=$H7,AI$5+6&gt;=$G7),"■",""))</x:f>
      </x:c>
      <x:c r="AJ7" s="46" t="str">
        <x:f>IF(OR($G7="",$H7=""),"",IF(AND(AJ$5&lt;=$H7,AJ$5+6&gt;=$G7),"■",""))</x:f>
      </x:c>
      <x:c r="AK7" s="46" t="str">
        <x:f>IF(OR($G7="",$H7=""),"",IF(AND(AK$5&lt;=$H7,AK$5+6&gt;=$G7),"■",""))</x:f>
      </x:c>
      <x:c r="AL7" s="46" t="str">
        <x:f>IF(OR($G7="",$H7=""),"",IF(AND(AL$5&lt;=$H7,AL$5+6&gt;=$G7),"■",""))</x:f>
      </x:c>
      <x:c r="AM7" s="46" t="str">
        <x:f>IF(OR($G7="",$H7=""),"",IF(AND(AM$5&lt;=$H7,AM$5+6&gt;=$G7),"■",""))</x:f>
      </x:c>
    </x:row>
    <x:row r="8" ht="28" customHeight="1">
      <x:c r="A8" s="26" t="str">
        <x:v>SPK-R0-001</x:v>
      </x:c>
      <x:c r="B8" s="26" t="str">
        <x:v>Shared-host Coexistence &amp; Rollback Spike</x:v>
      </x:c>
      <x:c r="C8" s="26" t="str">
        <x:v>In progress</x:v>
      </x:c>
      <x:c r="D8" s="26" t="str">
        <x:v>Incomplete</x:v>
      </x:c>
      <x:c r="E8" s="26" t="str">
        <x:v>No</x:v>
      </x:c>
      <x:c r="F8" s="26" t="str">
        <x:v>R0</x:v>
      </x:c>
      <x:c r="G8" s="35" t="n">
        <x:v>46251</x:v>
      </x:c>
      <x:c r="H8" s="35" t="n">
        <x:v>46253</x:v>
      </x:c>
      <x:c r="I8" s="46" t="str">
        <x:f>IF(OR($G8="",$H8=""),"",IF(AND(I$5&lt;=$H8,I$5+6&gt;=$G8),"■",""))</x:f>
        <x:v>■</x:v>
      </x:c>
      <x:c r="J8" s="46" t="str">
        <x:f>IF(OR($G8="",$H8=""),"",IF(AND(J$5&lt;=$H8,J$5+6&gt;=$G8),"■",""))</x:f>
      </x:c>
      <x:c r="K8" s="46" t="str">
        <x:f>IF(OR($G8="",$H8=""),"",IF(AND(K$5&lt;=$H8,K$5+6&gt;=$G8),"■",""))</x:f>
      </x:c>
      <x:c r="L8" s="46" t="str">
        <x:f>IF(OR($G8="",$H8=""),"",IF(AND(L$5&lt;=$H8,L$5+6&gt;=$G8),"■",""))</x:f>
      </x:c>
      <x:c r="M8" s="46" t="str">
        <x:f>IF(OR($G8="",$H8=""),"",IF(AND(M$5&lt;=$H8,M$5+6&gt;=$G8),"■",""))</x:f>
      </x:c>
      <x:c r="N8" s="46" t="str">
        <x:f>IF(OR($G8="",$H8=""),"",IF(AND(N$5&lt;=$H8,N$5+6&gt;=$G8),"■",""))</x:f>
      </x:c>
      <x:c r="O8" s="46" t="str">
        <x:f>IF(OR($G8="",$H8=""),"",IF(AND(O$5&lt;=$H8,O$5+6&gt;=$G8),"■",""))</x:f>
      </x:c>
      <x:c r="P8" s="46" t="str">
        <x:f>IF(OR($G8="",$H8=""),"",IF(AND(P$5&lt;=$H8,P$5+6&gt;=$G8),"■",""))</x:f>
      </x:c>
      <x:c r="Q8" s="46" t="str">
        <x:f>IF(OR($G8="",$H8=""),"",IF(AND(Q$5&lt;=$H8,Q$5+6&gt;=$G8),"■",""))</x:f>
      </x:c>
      <x:c r="R8" s="46" t="str">
        <x:f>IF(OR($G8="",$H8=""),"",IF(AND(R$5&lt;=$H8,R$5+6&gt;=$G8),"■",""))</x:f>
      </x:c>
      <x:c r="S8" s="46" t="str">
        <x:f>IF(OR($G8="",$H8=""),"",IF(AND(S$5&lt;=$H8,S$5+6&gt;=$G8),"■",""))</x:f>
      </x:c>
      <x:c r="T8" s="46" t="str">
        <x:f>IF(OR($G8="",$H8=""),"",IF(AND(T$5&lt;=$H8,T$5+6&gt;=$G8),"■",""))</x:f>
      </x:c>
      <x:c r="U8" s="46" t="str">
        <x:f>IF(OR($G8="",$H8=""),"",IF(AND(U$5&lt;=$H8,U$5+6&gt;=$G8),"■",""))</x:f>
      </x:c>
      <x:c r="V8" s="46" t="str">
        <x:f>IF(OR($G8="",$H8=""),"",IF(AND(V$5&lt;=$H8,V$5+6&gt;=$G8),"■",""))</x:f>
      </x:c>
      <x:c r="W8" s="46" t="str">
        <x:f>IF(OR($G8="",$H8=""),"",IF(AND(W$5&lt;=$H8,W$5+6&gt;=$G8),"■",""))</x:f>
      </x:c>
      <x:c r="X8" s="46" t="str">
        <x:f>IF(OR($G8="",$H8=""),"",IF(AND(X$5&lt;=$H8,X$5+6&gt;=$G8),"■",""))</x:f>
      </x:c>
      <x:c r="Y8" s="46" t="str">
        <x:f>IF(OR($G8="",$H8=""),"",IF(AND(Y$5&lt;=$H8,Y$5+6&gt;=$G8),"■",""))</x:f>
      </x:c>
      <x:c r="Z8" s="46" t="str">
        <x:f>IF(OR($G8="",$H8=""),"",IF(AND(Z$5&lt;=$H8,Z$5+6&gt;=$G8),"■",""))</x:f>
      </x:c>
      <x:c r="AA8" s="46" t="str">
        <x:f>IF(OR($G8="",$H8=""),"",IF(AND(AA$5&lt;=$H8,AA$5+6&gt;=$G8),"■",""))</x:f>
      </x:c>
      <x:c r="AB8" s="46" t="str">
        <x:f>IF(OR($G8="",$H8=""),"",IF(AND(AB$5&lt;=$H8,AB$5+6&gt;=$G8),"■",""))</x:f>
      </x:c>
      <x:c r="AC8" s="46" t="str">
        <x:f>IF(OR($G8="",$H8=""),"",IF(AND(AC$5&lt;=$H8,AC$5+6&gt;=$G8),"■",""))</x:f>
      </x:c>
      <x:c r="AD8" s="46" t="str">
        <x:f>IF(OR($G8="",$H8=""),"",IF(AND(AD$5&lt;=$H8,AD$5+6&gt;=$G8),"■",""))</x:f>
      </x:c>
      <x:c r="AE8" s="46" t="str">
        <x:f>IF(OR($G8="",$H8=""),"",IF(AND(AE$5&lt;=$H8,AE$5+6&gt;=$G8),"■",""))</x:f>
      </x:c>
      <x:c r="AF8" s="46" t="str">
        <x:f>IF(OR($G8="",$H8=""),"",IF(AND(AF$5&lt;=$H8,AF$5+6&gt;=$G8),"■",""))</x:f>
      </x:c>
      <x:c r="AG8" s="46" t="str">
        <x:f>IF(OR($G8="",$H8=""),"",IF(AND(AG$5&lt;=$H8,AG$5+6&gt;=$G8),"■",""))</x:f>
      </x:c>
      <x:c r="AH8" s="46" t="str">
        <x:f>IF(OR($G8="",$H8=""),"",IF(AND(AH$5&lt;=$H8,AH$5+6&gt;=$G8),"■",""))</x:f>
      </x:c>
      <x:c r="AI8" s="46" t="str">
        <x:f>IF(OR($G8="",$H8=""),"",IF(AND(AI$5&lt;=$H8,AI$5+6&gt;=$G8),"■",""))</x:f>
      </x:c>
      <x:c r="AJ8" s="46" t="str">
        <x:f>IF(OR($G8="",$H8=""),"",IF(AND(AJ$5&lt;=$H8,AJ$5+6&gt;=$G8),"■",""))</x:f>
      </x:c>
      <x:c r="AK8" s="46" t="str">
        <x:f>IF(OR($G8="",$H8=""),"",IF(AND(AK$5&lt;=$H8,AK$5+6&gt;=$G8),"■",""))</x:f>
      </x:c>
      <x:c r="AL8" s="46" t="str">
        <x:f>IF(OR($G8="",$H8=""),"",IF(AND(AL$5&lt;=$H8,AL$5+6&gt;=$G8),"■",""))</x:f>
      </x:c>
      <x:c r="AM8" s="46" t="str">
        <x:f>IF(OR($G8="",$H8=""),"",IF(AND(AM$5&lt;=$H8,AM$5+6&gt;=$G8),"■",""))</x:f>
      </x:c>
    </x:row>
    <x:row r="9" ht="28" customHeight="1">
      <x:c r="A9" s="26" t="str">
        <x:v>PRD-R0-001</x:v>
      </x:c>
      <x:c r="B9" s="26" t="str">
        <x:v>Private Foundation PRD</x:v>
      </x:c>
      <x:c r="C9" s="26" t="str">
        <x:v>Done</x:v>
      </x:c>
      <x:c r="D9" s="26" t="str">
        <x:v>Incomplete</x:v>
      </x:c>
      <x:c r="E9" s="26" t="str">
        <x:v>No</x:v>
      </x:c>
      <x:c r="F9" s="26" t="str">
        <x:v>R0</x:v>
      </x:c>
      <x:c r="G9" s="35" t="n">
        <x:v>46251</x:v>
      </x:c>
      <x:c r="H9" s="35" t="n">
        <x:v>46254</x:v>
      </x:c>
      <x:c r="I9" s="46" t="str">
        <x:f>IF(OR($G9="",$H9=""),"",IF(AND(I$5&lt;=$H9,I$5+6&gt;=$G9),"■",""))</x:f>
        <x:v>■</x:v>
      </x:c>
      <x:c r="J9" s="46" t="str">
        <x:f>IF(OR($G9="",$H9=""),"",IF(AND(J$5&lt;=$H9,J$5+6&gt;=$G9),"■",""))</x:f>
      </x:c>
      <x:c r="K9" s="46" t="str">
        <x:f>IF(OR($G9="",$H9=""),"",IF(AND(K$5&lt;=$H9,K$5+6&gt;=$G9),"■",""))</x:f>
      </x:c>
      <x:c r="L9" s="46" t="str">
        <x:f>IF(OR($G9="",$H9=""),"",IF(AND(L$5&lt;=$H9,L$5+6&gt;=$G9),"■",""))</x:f>
      </x:c>
      <x:c r="M9" s="46" t="str">
        <x:f>IF(OR($G9="",$H9=""),"",IF(AND(M$5&lt;=$H9,M$5+6&gt;=$G9),"■",""))</x:f>
      </x:c>
      <x:c r="N9" s="46" t="str">
        <x:f>IF(OR($G9="",$H9=""),"",IF(AND(N$5&lt;=$H9,N$5+6&gt;=$G9),"■",""))</x:f>
      </x:c>
      <x:c r="O9" s="46" t="str">
        <x:f>IF(OR($G9="",$H9=""),"",IF(AND(O$5&lt;=$H9,O$5+6&gt;=$G9),"■",""))</x:f>
      </x:c>
      <x:c r="P9" s="46" t="str">
        <x:f>IF(OR($G9="",$H9=""),"",IF(AND(P$5&lt;=$H9,P$5+6&gt;=$G9),"■",""))</x:f>
      </x:c>
      <x:c r="Q9" s="46" t="str">
        <x:f>IF(OR($G9="",$H9=""),"",IF(AND(Q$5&lt;=$H9,Q$5+6&gt;=$G9),"■",""))</x:f>
      </x:c>
      <x:c r="R9" s="46" t="str">
        <x:f>IF(OR($G9="",$H9=""),"",IF(AND(R$5&lt;=$H9,R$5+6&gt;=$G9),"■",""))</x:f>
      </x:c>
      <x:c r="S9" s="46" t="str">
        <x:f>IF(OR($G9="",$H9=""),"",IF(AND(S$5&lt;=$H9,S$5+6&gt;=$G9),"■",""))</x:f>
      </x:c>
      <x:c r="T9" s="46" t="str">
        <x:f>IF(OR($G9="",$H9=""),"",IF(AND(T$5&lt;=$H9,T$5+6&gt;=$G9),"■",""))</x:f>
      </x:c>
      <x:c r="U9" s="46" t="str">
        <x:f>IF(OR($G9="",$H9=""),"",IF(AND(U$5&lt;=$H9,U$5+6&gt;=$G9),"■",""))</x:f>
      </x:c>
      <x:c r="V9" s="46" t="str">
        <x:f>IF(OR($G9="",$H9=""),"",IF(AND(V$5&lt;=$H9,V$5+6&gt;=$G9),"■",""))</x:f>
      </x:c>
      <x:c r="W9" s="46" t="str">
        <x:f>IF(OR($G9="",$H9=""),"",IF(AND(W$5&lt;=$H9,W$5+6&gt;=$G9),"■",""))</x:f>
      </x:c>
      <x:c r="X9" s="46" t="str">
        <x:f>IF(OR($G9="",$H9=""),"",IF(AND(X$5&lt;=$H9,X$5+6&gt;=$G9),"■",""))</x:f>
      </x:c>
      <x:c r="Y9" s="46" t="str">
        <x:f>IF(OR($G9="",$H9=""),"",IF(AND(Y$5&lt;=$H9,Y$5+6&gt;=$G9),"■",""))</x:f>
      </x:c>
      <x:c r="Z9" s="46" t="str">
        <x:f>IF(OR($G9="",$H9=""),"",IF(AND(Z$5&lt;=$H9,Z$5+6&gt;=$G9),"■",""))</x:f>
      </x:c>
      <x:c r="AA9" s="46" t="str">
        <x:f>IF(OR($G9="",$H9=""),"",IF(AND(AA$5&lt;=$H9,AA$5+6&gt;=$G9),"■",""))</x:f>
      </x:c>
      <x:c r="AB9" s="46" t="str">
        <x:f>IF(OR($G9="",$H9=""),"",IF(AND(AB$5&lt;=$H9,AB$5+6&gt;=$G9),"■",""))</x:f>
      </x:c>
      <x:c r="AC9" s="46" t="str">
        <x:f>IF(OR($G9="",$H9=""),"",IF(AND(AC$5&lt;=$H9,AC$5+6&gt;=$G9),"■",""))</x:f>
      </x:c>
      <x:c r="AD9" s="46" t="str">
        <x:f>IF(OR($G9="",$H9=""),"",IF(AND(AD$5&lt;=$H9,AD$5+6&gt;=$G9),"■",""))</x:f>
      </x:c>
      <x:c r="AE9" s="46" t="str">
        <x:f>IF(OR($G9="",$H9=""),"",IF(AND(AE$5&lt;=$H9,AE$5+6&gt;=$G9),"■",""))</x:f>
      </x:c>
      <x:c r="AF9" s="46" t="str">
        <x:f>IF(OR($G9="",$H9=""),"",IF(AND(AF$5&lt;=$H9,AF$5+6&gt;=$G9),"■",""))</x:f>
      </x:c>
      <x:c r="AG9" s="46" t="str">
        <x:f>IF(OR($G9="",$H9=""),"",IF(AND(AG$5&lt;=$H9,AG$5+6&gt;=$G9),"■",""))</x:f>
      </x:c>
      <x:c r="AH9" s="46" t="str">
        <x:f>IF(OR($G9="",$H9=""),"",IF(AND(AH$5&lt;=$H9,AH$5+6&gt;=$G9),"■",""))</x:f>
      </x:c>
      <x:c r="AI9" s="46" t="str">
        <x:f>IF(OR($G9="",$H9=""),"",IF(AND(AI$5&lt;=$H9,AI$5+6&gt;=$G9),"■",""))</x:f>
      </x:c>
      <x:c r="AJ9" s="46" t="str">
        <x:f>IF(OR($G9="",$H9=""),"",IF(AND(AJ$5&lt;=$H9,AJ$5+6&gt;=$G9),"■",""))</x:f>
      </x:c>
      <x:c r="AK9" s="46" t="str">
        <x:f>IF(OR($G9="",$H9=""),"",IF(AND(AK$5&lt;=$H9,AK$5+6&gt;=$G9),"■",""))</x:f>
      </x:c>
      <x:c r="AL9" s="46" t="str">
        <x:f>IF(OR($G9="",$H9=""),"",IF(AND(AL$5&lt;=$H9,AL$5+6&gt;=$G9),"■",""))</x:f>
      </x:c>
      <x:c r="AM9" s="46" t="str">
        <x:f>IF(OR($G9="",$H9=""),"",IF(AND(AM$5&lt;=$H9,AM$5+6&gt;=$G9),"■",""))</x:f>
      </x:c>
    </x:row>
    <x:row r="10" ht="28" customHeight="1">
      <x:c r="A10" s="26" t="str">
        <x:v>UX-R0-001</x:v>
      </x:c>
      <x:c r="B10" s="26" t="str">
        <x:v>First-use/Access/Health States</x:v>
      </x:c>
      <x:c r="C10" s="26" t="str">
        <x:v>Next</x:v>
      </x:c>
      <x:c r="D10" s="26" t="str">
        <x:v>Incomplete</x:v>
      </x:c>
      <x:c r="E10" s="26" t="str">
        <x:v>No</x:v>
      </x:c>
      <x:c r="F10" s="26" t="str">
        <x:v>R0</x:v>
      </x:c>
      <x:c r="G10" s="35" t="n">
        <x:v>46252</x:v>
      </x:c>
      <x:c r="H10" s="35" t="n">
        <x:v>46255</x:v>
      </x:c>
      <x:c r="I10" s="46" t="str">
        <x:f>IF(OR($G10="",$H10=""),"",IF(AND(I$5&lt;=$H10,I$5+6&gt;=$G10),"■",""))</x:f>
        <x:v>■</x:v>
      </x:c>
      <x:c r="J10" s="46" t="str">
        <x:f>IF(OR($G10="",$H10=""),"",IF(AND(J$5&lt;=$H10,J$5+6&gt;=$G10),"■",""))</x:f>
      </x:c>
      <x:c r="K10" s="46" t="str">
        <x:f>IF(OR($G10="",$H10=""),"",IF(AND(K$5&lt;=$H10,K$5+6&gt;=$G10),"■",""))</x:f>
      </x:c>
      <x:c r="L10" s="46" t="str">
        <x:f>IF(OR($G10="",$H10=""),"",IF(AND(L$5&lt;=$H10,L$5+6&gt;=$G10),"■",""))</x:f>
      </x:c>
      <x:c r="M10" s="46" t="str">
        <x:f>IF(OR($G10="",$H10=""),"",IF(AND(M$5&lt;=$H10,M$5+6&gt;=$G10),"■",""))</x:f>
      </x:c>
      <x:c r="N10" s="46" t="str">
        <x:f>IF(OR($G10="",$H10=""),"",IF(AND(N$5&lt;=$H10,N$5+6&gt;=$G10),"■",""))</x:f>
      </x:c>
      <x:c r="O10" s="46" t="str">
        <x:f>IF(OR($G10="",$H10=""),"",IF(AND(O$5&lt;=$H10,O$5+6&gt;=$G10),"■",""))</x:f>
      </x:c>
      <x:c r="P10" s="46" t="str">
        <x:f>IF(OR($G10="",$H10=""),"",IF(AND(P$5&lt;=$H10,P$5+6&gt;=$G10),"■",""))</x:f>
      </x:c>
      <x:c r="Q10" s="46" t="str">
        <x:f>IF(OR($G10="",$H10=""),"",IF(AND(Q$5&lt;=$H10,Q$5+6&gt;=$G10),"■",""))</x:f>
      </x:c>
      <x:c r="R10" s="46" t="str">
        <x:f>IF(OR($G10="",$H10=""),"",IF(AND(R$5&lt;=$H10,R$5+6&gt;=$G10),"■",""))</x:f>
      </x:c>
      <x:c r="S10" s="46" t="str">
        <x:f>IF(OR($G10="",$H10=""),"",IF(AND(S$5&lt;=$H10,S$5+6&gt;=$G10),"■",""))</x:f>
      </x:c>
      <x:c r="T10" s="46" t="str">
        <x:f>IF(OR($G10="",$H10=""),"",IF(AND(T$5&lt;=$H10,T$5+6&gt;=$G10),"■",""))</x:f>
      </x:c>
      <x:c r="U10" s="46" t="str">
        <x:f>IF(OR($G10="",$H10=""),"",IF(AND(U$5&lt;=$H10,U$5+6&gt;=$G10),"■",""))</x:f>
      </x:c>
      <x:c r="V10" s="46" t="str">
        <x:f>IF(OR($G10="",$H10=""),"",IF(AND(V$5&lt;=$H10,V$5+6&gt;=$G10),"■",""))</x:f>
      </x:c>
      <x:c r="W10" s="46" t="str">
        <x:f>IF(OR($G10="",$H10=""),"",IF(AND(W$5&lt;=$H10,W$5+6&gt;=$G10),"■",""))</x:f>
      </x:c>
      <x:c r="X10" s="46" t="str">
        <x:f>IF(OR($G10="",$H10=""),"",IF(AND(X$5&lt;=$H10,X$5+6&gt;=$G10),"■",""))</x:f>
      </x:c>
      <x:c r="Y10" s="46" t="str">
        <x:f>IF(OR($G10="",$H10=""),"",IF(AND(Y$5&lt;=$H10,Y$5+6&gt;=$G10),"■",""))</x:f>
      </x:c>
      <x:c r="Z10" s="46" t="str">
        <x:f>IF(OR($G10="",$H10=""),"",IF(AND(Z$5&lt;=$H10,Z$5+6&gt;=$G10),"■",""))</x:f>
      </x:c>
      <x:c r="AA10" s="46" t="str">
        <x:f>IF(OR($G10="",$H10=""),"",IF(AND(AA$5&lt;=$H10,AA$5+6&gt;=$G10),"■",""))</x:f>
      </x:c>
      <x:c r="AB10" s="46" t="str">
        <x:f>IF(OR($G10="",$H10=""),"",IF(AND(AB$5&lt;=$H10,AB$5+6&gt;=$G10),"■",""))</x:f>
      </x:c>
      <x:c r="AC10" s="46" t="str">
        <x:f>IF(OR($G10="",$H10=""),"",IF(AND(AC$5&lt;=$H10,AC$5+6&gt;=$G10),"■",""))</x:f>
      </x:c>
      <x:c r="AD10" s="46" t="str">
        <x:f>IF(OR($G10="",$H10=""),"",IF(AND(AD$5&lt;=$H10,AD$5+6&gt;=$G10),"■",""))</x:f>
      </x:c>
      <x:c r="AE10" s="46" t="str">
        <x:f>IF(OR($G10="",$H10=""),"",IF(AND(AE$5&lt;=$H10,AE$5+6&gt;=$G10),"■",""))</x:f>
      </x:c>
      <x:c r="AF10" s="46" t="str">
        <x:f>IF(OR($G10="",$H10=""),"",IF(AND(AF$5&lt;=$H10,AF$5+6&gt;=$G10),"■",""))</x:f>
      </x:c>
      <x:c r="AG10" s="46" t="str">
        <x:f>IF(OR($G10="",$H10=""),"",IF(AND(AG$5&lt;=$H10,AG$5+6&gt;=$G10),"■",""))</x:f>
      </x:c>
      <x:c r="AH10" s="46" t="str">
        <x:f>IF(OR($G10="",$H10=""),"",IF(AND(AH$5&lt;=$H10,AH$5+6&gt;=$G10),"■",""))</x:f>
      </x:c>
      <x:c r="AI10" s="46" t="str">
        <x:f>IF(OR($G10="",$H10=""),"",IF(AND(AI$5&lt;=$H10,AI$5+6&gt;=$G10),"■",""))</x:f>
      </x:c>
      <x:c r="AJ10" s="46" t="str">
        <x:f>IF(OR($G10="",$H10=""),"",IF(AND(AJ$5&lt;=$H10,AJ$5+6&gt;=$G10),"■",""))</x:f>
      </x:c>
      <x:c r="AK10" s="46" t="str">
        <x:f>IF(OR($G10="",$H10=""),"",IF(AND(AK$5&lt;=$H10,AK$5+6&gt;=$G10),"■",""))</x:f>
      </x:c>
      <x:c r="AL10" s="46" t="str">
        <x:f>IF(OR($G10="",$H10=""),"",IF(AND(AL$5&lt;=$H10,AL$5+6&gt;=$G10),"■",""))</x:f>
      </x:c>
      <x:c r="AM10" s="46" t="str">
        <x:f>IF(OR($G10="",$H10=""),"",IF(AND(AM$5&lt;=$H10,AM$5+6&gt;=$G10),"■",""))</x:f>
      </x:c>
    </x:row>
    <x:row r="11" ht="28" customHeight="1">
      <x:c r="A11" s="26" t="str">
        <x:v>ARCH-R0-001</x:v>
      </x:c>
      <x:c r="B11" s="26" t="str">
        <x:v>Private Shell Architecture &amp; Threat Baseline</x:v>
      </x:c>
      <x:c r="C11" s="26" t="str">
        <x:v>Next</x:v>
      </x:c>
      <x:c r="D11" s="26" t="str">
        <x:v>Incomplete</x:v>
      </x:c>
      <x:c r="E11" s="26" t="str">
        <x:v>No</x:v>
      </x:c>
      <x:c r="F11" s="26" t="str">
        <x:v>R0</x:v>
      </x:c>
      <x:c r="G11" s="35" t="n">
        <x:v>46251</x:v>
      </x:c>
      <x:c r="H11" s="35" t="n">
        <x:v>46255</x:v>
      </x:c>
      <x:c r="I11" s="46" t="str">
        <x:f>IF(OR($G11="",$H11=""),"",IF(AND(I$5&lt;=$H11,I$5+6&gt;=$G11),"■",""))</x:f>
        <x:v>■</x:v>
      </x:c>
      <x:c r="J11" s="46" t="str">
        <x:f>IF(OR($G11="",$H11=""),"",IF(AND(J$5&lt;=$H11,J$5+6&gt;=$G11),"■",""))</x:f>
      </x:c>
      <x:c r="K11" s="46" t="str">
        <x:f>IF(OR($G11="",$H11=""),"",IF(AND(K$5&lt;=$H11,K$5+6&gt;=$G11),"■",""))</x:f>
      </x:c>
      <x:c r="L11" s="46" t="str">
        <x:f>IF(OR($G11="",$H11=""),"",IF(AND(L$5&lt;=$H11,L$5+6&gt;=$G11),"■",""))</x:f>
      </x:c>
      <x:c r="M11" s="46" t="str">
        <x:f>IF(OR($G11="",$H11=""),"",IF(AND(M$5&lt;=$H11,M$5+6&gt;=$G11),"■",""))</x:f>
      </x:c>
      <x:c r="N11" s="46" t="str">
        <x:f>IF(OR($G11="",$H11=""),"",IF(AND(N$5&lt;=$H11,N$5+6&gt;=$G11),"■",""))</x:f>
      </x:c>
      <x:c r="O11" s="46" t="str">
        <x:f>IF(OR($G11="",$H11=""),"",IF(AND(O$5&lt;=$H11,O$5+6&gt;=$G11),"■",""))</x:f>
      </x:c>
      <x:c r="P11" s="46" t="str">
        <x:f>IF(OR($G11="",$H11=""),"",IF(AND(P$5&lt;=$H11,P$5+6&gt;=$G11),"■",""))</x:f>
      </x:c>
      <x:c r="Q11" s="46" t="str">
        <x:f>IF(OR($G11="",$H11=""),"",IF(AND(Q$5&lt;=$H11,Q$5+6&gt;=$G11),"■",""))</x:f>
      </x:c>
      <x:c r="R11" s="46" t="str">
        <x:f>IF(OR($G11="",$H11=""),"",IF(AND(R$5&lt;=$H11,R$5+6&gt;=$G11),"■",""))</x:f>
      </x:c>
      <x:c r="S11" s="46" t="str">
        <x:f>IF(OR($G11="",$H11=""),"",IF(AND(S$5&lt;=$H11,S$5+6&gt;=$G11),"■",""))</x:f>
      </x:c>
      <x:c r="T11" s="46" t="str">
        <x:f>IF(OR($G11="",$H11=""),"",IF(AND(T$5&lt;=$H11,T$5+6&gt;=$G11),"■",""))</x:f>
      </x:c>
      <x:c r="U11" s="46" t="str">
        <x:f>IF(OR($G11="",$H11=""),"",IF(AND(U$5&lt;=$H11,U$5+6&gt;=$G11),"■",""))</x:f>
      </x:c>
      <x:c r="V11" s="46" t="str">
        <x:f>IF(OR($G11="",$H11=""),"",IF(AND(V$5&lt;=$H11,V$5+6&gt;=$G11),"■",""))</x:f>
      </x:c>
      <x:c r="W11" s="46" t="str">
        <x:f>IF(OR($G11="",$H11=""),"",IF(AND(W$5&lt;=$H11,W$5+6&gt;=$G11),"■",""))</x:f>
      </x:c>
      <x:c r="X11" s="46" t="str">
        <x:f>IF(OR($G11="",$H11=""),"",IF(AND(X$5&lt;=$H11,X$5+6&gt;=$G11),"■",""))</x:f>
      </x:c>
      <x:c r="Y11" s="46" t="str">
        <x:f>IF(OR($G11="",$H11=""),"",IF(AND(Y$5&lt;=$H11,Y$5+6&gt;=$G11),"■",""))</x:f>
      </x:c>
      <x:c r="Z11" s="46" t="str">
        <x:f>IF(OR($G11="",$H11=""),"",IF(AND(Z$5&lt;=$H11,Z$5+6&gt;=$G11),"■",""))</x:f>
      </x:c>
      <x:c r="AA11" s="46" t="str">
        <x:f>IF(OR($G11="",$H11=""),"",IF(AND(AA$5&lt;=$H11,AA$5+6&gt;=$G11),"■",""))</x:f>
      </x:c>
      <x:c r="AB11" s="46" t="str">
        <x:f>IF(OR($G11="",$H11=""),"",IF(AND(AB$5&lt;=$H11,AB$5+6&gt;=$G11),"■",""))</x:f>
      </x:c>
      <x:c r="AC11" s="46" t="str">
        <x:f>IF(OR($G11="",$H11=""),"",IF(AND(AC$5&lt;=$H11,AC$5+6&gt;=$G11),"■",""))</x:f>
      </x:c>
      <x:c r="AD11" s="46" t="str">
        <x:f>IF(OR($G11="",$H11=""),"",IF(AND(AD$5&lt;=$H11,AD$5+6&gt;=$G11),"■",""))</x:f>
      </x:c>
      <x:c r="AE11" s="46" t="str">
        <x:f>IF(OR($G11="",$H11=""),"",IF(AND(AE$5&lt;=$H11,AE$5+6&gt;=$G11),"■",""))</x:f>
      </x:c>
      <x:c r="AF11" s="46" t="str">
        <x:f>IF(OR($G11="",$H11=""),"",IF(AND(AF$5&lt;=$H11,AF$5+6&gt;=$G11),"■",""))</x:f>
      </x:c>
      <x:c r="AG11" s="46" t="str">
        <x:f>IF(OR($G11="",$H11=""),"",IF(AND(AG$5&lt;=$H11,AG$5+6&gt;=$G11),"■",""))</x:f>
      </x:c>
      <x:c r="AH11" s="46" t="str">
        <x:f>IF(OR($G11="",$H11=""),"",IF(AND(AH$5&lt;=$H11,AH$5+6&gt;=$G11),"■",""))</x:f>
      </x:c>
      <x:c r="AI11" s="46" t="str">
        <x:f>IF(OR($G11="",$H11=""),"",IF(AND(AI$5&lt;=$H11,AI$5+6&gt;=$G11),"■",""))</x:f>
      </x:c>
      <x:c r="AJ11" s="46" t="str">
        <x:f>IF(OR($G11="",$H11=""),"",IF(AND(AJ$5&lt;=$H11,AJ$5+6&gt;=$G11),"■",""))</x:f>
      </x:c>
      <x:c r="AK11" s="46" t="str">
        <x:f>IF(OR($G11="",$H11=""),"",IF(AND(AK$5&lt;=$H11,AK$5+6&gt;=$G11),"■",""))</x:f>
      </x:c>
      <x:c r="AL11" s="46" t="str">
        <x:f>IF(OR($G11="",$H11=""),"",IF(AND(AL$5&lt;=$H11,AL$5+6&gt;=$G11),"■",""))</x:f>
      </x:c>
      <x:c r="AM11" s="46" t="str">
        <x:f>IF(OR($G11="",$H11=""),"",IF(AND(AM$5&lt;=$H11,AM$5+6&gt;=$G11),"■",""))</x:f>
      </x:c>
    </x:row>
    <x:row r="12" ht="28" customHeight="1">
      <x:c r="A12" s="26" t="str">
        <x:v>ENG-R0-001</x:v>
      </x:c>
      <x:c r="B12" s="26" t="str">
        <x:v>Deploy Synthetic Private Shell</x:v>
      </x:c>
      <x:c r="C12" s="26" t="str">
        <x:v>Next</x:v>
      </x:c>
      <x:c r="D12" s="26" t="str">
        <x:v>Incomplete</x:v>
      </x:c>
      <x:c r="E12" s="26" t="str">
        <x:v>No</x:v>
      </x:c>
      <x:c r="F12" s="26" t="str">
        <x:v>R0</x:v>
      </x:c>
      <x:c r="G12" s="35" t="n">
        <x:v>46255</x:v>
      </x:c>
      <x:c r="H12" s="35" t="n">
        <x:v>46260</x:v>
      </x:c>
      <x:c r="I12" s="46" t="str">
        <x:f>IF(OR($G12="",$H12=""),"",IF(AND(I$5&lt;=$H12,I$5+6&gt;=$G12),"■",""))</x:f>
        <x:v>■</x:v>
      </x:c>
      <x:c r="J12" s="46" t="str">
        <x:f>IF(OR($G12="",$H12=""),"",IF(AND(J$5&lt;=$H12,J$5+6&gt;=$G12),"■",""))</x:f>
        <x:v>■</x:v>
      </x:c>
      <x:c r="K12" s="46" t="str">
        <x:f>IF(OR($G12="",$H12=""),"",IF(AND(K$5&lt;=$H12,K$5+6&gt;=$G12),"■",""))</x:f>
      </x:c>
      <x:c r="L12" s="46" t="str">
        <x:f>IF(OR($G12="",$H12=""),"",IF(AND(L$5&lt;=$H12,L$5+6&gt;=$G12),"■",""))</x:f>
      </x:c>
      <x:c r="M12" s="46" t="str">
        <x:f>IF(OR($G12="",$H12=""),"",IF(AND(M$5&lt;=$H12,M$5+6&gt;=$G12),"■",""))</x:f>
      </x:c>
      <x:c r="N12" s="46" t="str">
        <x:f>IF(OR($G12="",$H12=""),"",IF(AND(N$5&lt;=$H12,N$5+6&gt;=$G12),"■",""))</x:f>
      </x:c>
      <x:c r="O12" s="46" t="str">
        <x:f>IF(OR($G12="",$H12=""),"",IF(AND(O$5&lt;=$H12,O$5+6&gt;=$G12),"■",""))</x:f>
      </x:c>
      <x:c r="P12" s="46" t="str">
        <x:f>IF(OR($G12="",$H12=""),"",IF(AND(P$5&lt;=$H12,P$5+6&gt;=$G12),"■",""))</x:f>
      </x:c>
      <x:c r="Q12" s="46" t="str">
        <x:f>IF(OR($G12="",$H12=""),"",IF(AND(Q$5&lt;=$H12,Q$5+6&gt;=$G12),"■",""))</x:f>
      </x:c>
      <x:c r="R12" s="46" t="str">
        <x:f>IF(OR($G12="",$H12=""),"",IF(AND(R$5&lt;=$H12,R$5+6&gt;=$G12),"■",""))</x:f>
      </x:c>
      <x:c r="S12" s="46" t="str">
        <x:f>IF(OR($G12="",$H12=""),"",IF(AND(S$5&lt;=$H12,S$5+6&gt;=$G12),"■",""))</x:f>
      </x:c>
      <x:c r="T12" s="46" t="str">
        <x:f>IF(OR($G12="",$H12=""),"",IF(AND(T$5&lt;=$H12,T$5+6&gt;=$G12),"■",""))</x:f>
      </x:c>
      <x:c r="U12" s="46" t="str">
        <x:f>IF(OR($G12="",$H12=""),"",IF(AND(U$5&lt;=$H12,U$5+6&gt;=$G12),"■",""))</x:f>
      </x:c>
      <x:c r="V12" s="46" t="str">
        <x:f>IF(OR($G12="",$H12=""),"",IF(AND(V$5&lt;=$H12,V$5+6&gt;=$G12),"■",""))</x:f>
      </x:c>
      <x:c r="W12" s="46" t="str">
        <x:f>IF(OR($G12="",$H12=""),"",IF(AND(W$5&lt;=$H12,W$5+6&gt;=$G12),"■",""))</x:f>
      </x:c>
      <x:c r="X12" s="46" t="str">
        <x:f>IF(OR($G12="",$H12=""),"",IF(AND(X$5&lt;=$H12,X$5+6&gt;=$G12),"■",""))</x:f>
      </x:c>
      <x:c r="Y12" s="46" t="str">
        <x:f>IF(OR($G12="",$H12=""),"",IF(AND(Y$5&lt;=$H12,Y$5+6&gt;=$G12),"■",""))</x:f>
      </x:c>
      <x:c r="Z12" s="46" t="str">
        <x:f>IF(OR($G12="",$H12=""),"",IF(AND(Z$5&lt;=$H12,Z$5+6&gt;=$G12),"■",""))</x:f>
      </x:c>
      <x:c r="AA12" s="46" t="str">
        <x:f>IF(OR($G12="",$H12=""),"",IF(AND(AA$5&lt;=$H12,AA$5+6&gt;=$G12),"■",""))</x:f>
      </x:c>
      <x:c r="AB12" s="46" t="str">
        <x:f>IF(OR($G12="",$H12=""),"",IF(AND(AB$5&lt;=$H12,AB$5+6&gt;=$G12),"■",""))</x:f>
      </x:c>
      <x:c r="AC12" s="46" t="str">
        <x:f>IF(OR($G12="",$H12=""),"",IF(AND(AC$5&lt;=$H12,AC$5+6&gt;=$G12),"■",""))</x:f>
      </x:c>
      <x:c r="AD12" s="46" t="str">
        <x:f>IF(OR($G12="",$H12=""),"",IF(AND(AD$5&lt;=$H12,AD$5+6&gt;=$G12),"■",""))</x:f>
      </x:c>
      <x:c r="AE12" s="46" t="str">
        <x:f>IF(OR($G12="",$H12=""),"",IF(AND(AE$5&lt;=$H12,AE$5+6&gt;=$G12),"■",""))</x:f>
      </x:c>
      <x:c r="AF12" s="46" t="str">
        <x:f>IF(OR($G12="",$H12=""),"",IF(AND(AF$5&lt;=$H12,AF$5+6&gt;=$G12),"■",""))</x:f>
      </x:c>
      <x:c r="AG12" s="46" t="str">
        <x:f>IF(OR($G12="",$H12=""),"",IF(AND(AG$5&lt;=$H12,AG$5+6&gt;=$G12),"■",""))</x:f>
      </x:c>
      <x:c r="AH12" s="46" t="str">
        <x:f>IF(OR($G12="",$H12=""),"",IF(AND(AH$5&lt;=$H12,AH$5+6&gt;=$G12),"■",""))</x:f>
      </x:c>
      <x:c r="AI12" s="46" t="str">
        <x:f>IF(OR($G12="",$H12=""),"",IF(AND(AI$5&lt;=$H12,AI$5+6&gt;=$G12),"■",""))</x:f>
      </x:c>
      <x:c r="AJ12" s="46" t="str">
        <x:f>IF(OR($G12="",$H12=""),"",IF(AND(AJ$5&lt;=$H12,AJ$5+6&gt;=$G12),"■",""))</x:f>
      </x:c>
      <x:c r="AK12" s="46" t="str">
        <x:f>IF(OR($G12="",$H12=""),"",IF(AND(AK$5&lt;=$H12,AK$5+6&gt;=$G12),"■",""))</x:f>
      </x:c>
      <x:c r="AL12" s="46" t="str">
        <x:f>IF(OR($G12="",$H12=""),"",IF(AND(AL$5&lt;=$H12,AL$5+6&gt;=$G12),"■",""))</x:f>
      </x:c>
      <x:c r="AM12" s="46" t="str">
        <x:f>IF(OR($G12="",$H12=""),"",IF(AND(AM$5&lt;=$H12,AM$5+6&gt;=$G12),"■",""))</x:f>
      </x:c>
    </x:row>
    <x:row r="13" ht="28" customHeight="1">
      <x:c r="A13" s="26" t="str">
        <x:v>REL-R0-001</x:v>
      </x:c>
      <x:c r="B13" s="26" t="str">
        <x:v>Restore/Rollback/Non-regression Acceptance</x:v>
      </x:c>
      <x:c r="C13" s="26" t="str">
        <x:v>Next</x:v>
      </x:c>
      <x:c r="D13" s="26" t="str">
        <x:v>Incomplete</x:v>
      </x:c>
      <x:c r="E13" s="26" t="str">
        <x:v>No</x:v>
      </x:c>
      <x:c r="F13" s="26" t="str">
        <x:v>R0</x:v>
      </x:c>
      <x:c r="G13" s="35" t="n">
        <x:v>46261</x:v>
      </x:c>
      <x:c r="H13" s="35" t="n">
        <x:v>46262</x:v>
      </x:c>
      <x:c r="I13" s="46" t="str">
        <x:f>IF(OR($G13="",$H13=""),"",IF(AND(I$5&lt;=$H13,I$5+6&gt;=$G13),"■",""))</x:f>
      </x:c>
      <x:c r="J13" s="46" t="str">
        <x:f>IF(OR($G13="",$H13=""),"",IF(AND(J$5&lt;=$H13,J$5+6&gt;=$G13),"■",""))</x:f>
        <x:v>■</x:v>
      </x:c>
      <x:c r="K13" s="46" t="str">
        <x:f>IF(OR($G13="",$H13=""),"",IF(AND(K$5&lt;=$H13,K$5+6&gt;=$G13),"■",""))</x:f>
      </x:c>
      <x:c r="L13" s="46" t="str">
        <x:f>IF(OR($G13="",$H13=""),"",IF(AND(L$5&lt;=$H13,L$5+6&gt;=$G13),"■",""))</x:f>
      </x:c>
      <x:c r="M13" s="46" t="str">
        <x:f>IF(OR($G13="",$H13=""),"",IF(AND(M$5&lt;=$H13,M$5+6&gt;=$G13),"■",""))</x:f>
      </x:c>
      <x:c r="N13" s="46" t="str">
        <x:f>IF(OR($G13="",$H13=""),"",IF(AND(N$5&lt;=$H13,N$5+6&gt;=$G13),"■",""))</x:f>
      </x:c>
      <x:c r="O13" s="46" t="str">
        <x:f>IF(OR($G13="",$H13=""),"",IF(AND(O$5&lt;=$H13,O$5+6&gt;=$G13),"■",""))</x:f>
      </x:c>
      <x:c r="P13" s="46" t="str">
        <x:f>IF(OR($G13="",$H13=""),"",IF(AND(P$5&lt;=$H13,P$5+6&gt;=$G13),"■",""))</x:f>
      </x:c>
      <x:c r="Q13" s="46" t="str">
        <x:f>IF(OR($G13="",$H13=""),"",IF(AND(Q$5&lt;=$H13,Q$5+6&gt;=$G13),"■",""))</x:f>
      </x:c>
      <x:c r="R13" s="46" t="str">
        <x:f>IF(OR($G13="",$H13=""),"",IF(AND(R$5&lt;=$H13,R$5+6&gt;=$G13),"■",""))</x:f>
      </x:c>
      <x:c r="S13" s="46" t="str">
        <x:f>IF(OR($G13="",$H13=""),"",IF(AND(S$5&lt;=$H13,S$5+6&gt;=$G13),"■",""))</x:f>
      </x:c>
      <x:c r="T13" s="46" t="str">
        <x:f>IF(OR($G13="",$H13=""),"",IF(AND(T$5&lt;=$H13,T$5+6&gt;=$G13),"■",""))</x:f>
      </x:c>
      <x:c r="U13" s="46" t="str">
        <x:f>IF(OR($G13="",$H13=""),"",IF(AND(U$5&lt;=$H13,U$5+6&gt;=$G13),"■",""))</x:f>
      </x:c>
      <x:c r="V13" s="46" t="str">
        <x:f>IF(OR($G13="",$H13=""),"",IF(AND(V$5&lt;=$H13,V$5+6&gt;=$G13),"■",""))</x:f>
      </x:c>
      <x:c r="W13" s="46" t="str">
        <x:f>IF(OR($G13="",$H13=""),"",IF(AND(W$5&lt;=$H13,W$5+6&gt;=$G13),"■",""))</x:f>
      </x:c>
      <x:c r="X13" s="46" t="str">
        <x:f>IF(OR($G13="",$H13=""),"",IF(AND(X$5&lt;=$H13,X$5+6&gt;=$G13),"■",""))</x:f>
      </x:c>
      <x:c r="Y13" s="46" t="str">
        <x:f>IF(OR($G13="",$H13=""),"",IF(AND(Y$5&lt;=$H13,Y$5+6&gt;=$G13),"■",""))</x:f>
      </x:c>
      <x:c r="Z13" s="46" t="str">
        <x:f>IF(OR($G13="",$H13=""),"",IF(AND(Z$5&lt;=$H13,Z$5+6&gt;=$G13),"■",""))</x:f>
      </x:c>
      <x:c r="AA13" s="46" t="str">
        <x:f>IF(OR($G13="",$H13=""),"",IF(AND(AA$5&lt;=$H13,AA$5+6&gt;=$G13),"■",""))</x:f>
      </x:c>
      <x:c r="AB13" s="46" t="str">
        <x:f>IF(OR($G13="",$H13=""),"",IF(AND(AB$5&lt;=$H13,AB$5+6&gt;=$G13),"■",""))</x:f>
      </x:c>
      <x:c r="AC13" s="46" t="str">
        <x:f>IF(OR($G13="",$H13=""),"",IF(AND(AC$5&lt;=$H13,AC$5+6&gt;=$G13),"■",""))</x:f>
      </x:c>
      <x:c r="AD13" s="46" t="str">
        <x:f>IF(OR($G13="",$H13=""),"",IF(AND(AD$5&lt;=$H13,AD$5+6&gt;=$G13),"■",""))</x:f>
      </x:c>
      <x:c r="AE13" s="46" t="str">
        <x:f>IF(OR($G13="",$H13=""),"",IF(AND(AE$5&lt;=$H13,AE$5+6&gt;=$G13),"■",""))</x:f>
      </x:c>
      <x:c r="AF13" s="46" t="str">
        <x:f>IF(OR($G13="",$H13=""),"",IF(AND(AF$5&lt;=$H13,AF$5+6&gt;=$G13),"■",""))</x:f>
      </x:c>
      <x:c r="AG13" s="46" t="str">
        <x:f>IF(OR($G13="",$H13=""),"",IF(AND(AG$5&lt;=$H13,AG$5+6&gt;=$G13),"■",""))</x:f>
      </x:c>
      <x:c r="AH13" s="46" t="str">
        <x:f>IF(OR($G13="",$H13=""),"",IF(AND(AH$5&lt;=$H13,AH$5+6&gt;=$G13),"■",""))</x:f>
      </x:c>
      <x:c r="AI13" s="46" t="str">
        <x:f>IF(OR($G13="",$H13=""),"",IF(AND(AI$5&lt;=$H13,AI$5+6&gt;=$G13),"■",""))</x:f>
      </x:c>
      <x:c r="AJ13" s="46" t="str">
        <x:f>IF(OR($G13="",$H13=""),"",IF(AND(AJ$5&lt;=$H13,AJ$5+6&gt;=$G13),"■",""))</x:f>
      </x:c>
      <x:c r="AK13" s="46" t="str">
        <x:f>IF(OR($G13="",$H13=""),"",IF(AND(AK$5&lt;=$H13,AK$5+6&gt;=$G13),"■",""))</x:f>
      </x:c>
      <x:c r="AL13" s="46" t="str">
        <x:f>IF(OR($G13="",$H13=""),"",IF(AND(AL$5&lt;=$H13,AL$5+6&gt;=$G13),"■",""))</x:f>
      </x:c>
      <x:c r="AM13" s="46" t="str">
        <x:f>IF(OR($G13="",$H13=""),"",IF(AND(AM$5&lt;=$H13,AM$5+6&gt;=$G13),"■",""))</x:f>
      </x:c>
    </x:row>
    <x:row r="14" ht="28" customHeight="1">
      <x:c r="A14" s="26" t="str">
        <x:v>PRD-R1-001</x:v>
      </x:c>
      <x:c r="B14" s="26" t="str">
        <x:v>Manual Archive PRD</x:v>
      </x:c>
      <x:c r="C14" s="26" t="str">
        <x:v>Done</x:v>
      </x:c>
      <x:c r="D14" s="26" t="str">
        <x:v>Incomplete</x:v>
      </x:c>
      <x:c r="E14" s="26" t="str">
        <x:v>No</x:v>
      </x:c>
      <x:c r="F14" s="26" t="str">
        <x:v>R1</x:v>
      </x:c>
      <x:c r="G14" s="35" t="n">
        <x:v>46265</x:v>
      </x:c>
      <x:c r="H14" s="35" t="n">
        <x:v>46267</x:v>
      </x:c>
      <x:c r="I14" s="46" t="str">
        <x:f>IF(OR($G14="",$H14=""),"",IF(AND(I$5&lt;=$H14,I$5+6&gt;=$G14),"■",""))</x:f>
      </x:c>
      <x:c r="J14" s="46" t="str">
        <x:f>IF(OR($G14="",$H14=""),"",IF(AND(J$5&lt;=$H14,J$5+6&gt;=$G14),"■",""))</x:f>
      </x:c>
      <x:c r="K14" s="46" t="str">
        <x:f>IF(OR($G14="",$H14=""),"",IF(AND(K$5&lt;=$H14,K$5+6&gt;=$G14),"■",""))</x:f>
        <x:v>■</x:v>
      </x:c>
      <x:c r="L14" s="46" t="str">
        <x:f>IF(OR($G14="",$H14=""),"",IF(AND(L$5&lt;=$H14,L$5+6&gt;=$G14),"■",""))</x:f>
      </x:c>
      <x:c r="M14" s="46" t="str">
        <x:f>IF(OR($G14="",$H14=""),"",IF(AND(M$5&lt;=$H14,M$5+6&gt;=$G14),"■",""))</x:f>
      </x:c>
      <x:c r="N14" s="46" t="str">
        <x:f>IF(OR($G14="",$H14=""),"",IF(AND(N$5&lt;=$H14,N$5+6&gt;=$G14),"■",""))</x:f>
      </x:c>
      <x:c r="O14" s="46" t="str">
        <x:f>IF(OR($G14="",$H14=""),"",IF(AND(O$5&lt;=$H14,O$5+6&gt;=$G14),"■",""))</x:f>
      </x:c>
      <x:c r="P14" s="46" t="str">
        <x:f>IF(OR($G14="",$H14=""),"",IF(AND(P$5&lt;=$H14,P$5+6&gt;=$G14),"■",""))</x:f>
      </x:c>
      <x:c r="Q14" s="46" t="str">
        <x:f>IF(OR($G14="",$H14=""),"",IF(AND(Q$5&lt;=$H14,Q$5+6&gt;=$G14),"■",""))</x:f>
      </x:c>
      <x:c r="R14" s="46" t="str">
        <x:f>IF(OR($G14="",$H14=""),"",IF(AND(R$5&lt;=$H14,R$5+6&gt;=$G14),"■",""))</x:f>
      </x:c>
      <x:c r="S14" s="46" t="str">
        <x:f>IF(OR($G14="",$H14=""),"",IF(AND(S$5&lt;=$H14,S$5+6&gt;=$G14),"■",""))</x:f>
      </x:c>
      <x:c r="T14" s="46" t="str">
        <x:f>IF(OR($G14="",$H14=""),"",IF(AND(T$5&lt;=$H14,T$5+6&gt;=$G14),"■",""))</x:f>
      </x:c>
      <x:c r="U14" s="46" t="str">
        <x:f>IF(OR($G14="",$H14=""),"",IF(AND(U$5&lt;=$H14,U$5+6&gt;=$G14),"■",""))</x:f>
      </x:c>
      <x:c r="V14" s="46" t="str">
        <x:f>IF(OR($G14="",$H14=""),"",IF(AND(V$5&lt;=$H14,V$5+6&gt;=$G14),"■",""))</x:f>
      </x:c>
      <x:c r="W14" s="46" t="str">
        <x:f>IF(OR($G14="",$H14=""),"",IF(AND(W$5&lt;=$H14,W$5+6&gt;=$G14),"■",""))</x:f>
      </x:c>
      <x:c r="X14" s="46" t="str">
        <x:f>IF(OR($G14="",$H14=""),"",IF(AND(X$5&lt;=$H14,X$5+6&gt;=$G14),"■",""))</x:f>
      </x:c>
      <x:c r="Y14" s="46" t="str">
        <x:f>IF(OR($G14="",$H14=""),"",IF(AND(Y$5&lt;=$H14,Y$5+6&gt;=$G14),"■",""))</x:f>
      </x:c>
      <x:c r="Z14" s="46" t="str">
        <x:f>IF(OR($G14="",$H14=""),"",IF(AND(Z$5&lt;=$H14,Z$5+6&gt;=$G14),"■",""))</x:f>
      </x:c>
      <x:c r="AA14" s="46" t="str">
        <x:f>IF(OR($G14="",$H14=""),"",IF(AND(AA$5&lt;=$H14,AA$5+6&gt;=$G14),"■",""))</x:f>
      </x:c>
      <x:c r="AB14" s="46" t="str">
        <x:f>IF(OR($G14="",$H14=""),"",IF(AND(AB$5&lt;=$H14,AB$5+6&gt;=$G14),"■",""))</x:f>
      </x:c>
      <x:c r="AC14" s="46" t="str">
        <x:f>IF(OR($G14="",$H14=""),"",IF(AND(AC$5&lt;=$H14,AC$5+6&gt;=$G14),"■",""))</x:f>
      </x:c>
      <x:c r="AD14" s="46" t="str">
        <x:f>IF(OR($G14="",$H14=""),"",IF(AND(AD$5&lt;=$H14,AD$5+6&gt;=$G14),"■",""))</x:f>
      </x:c>
      <x:c r="AE14" s="46" t="str">
        <x:f>IF(OR($G14="",$H14=""),"",IF(AND(AE$5&lt;=$H14,AE$5+6&gt;=$G14),"■",""))</x:f>
      </x:c>
      <x:c r="AF14" s="46" t="str">
        <x:f>IF(OR($G14="",$H14=""),"",IF(AND(AF$5&lt;=$H14,AF$5+6&gt;=$G14),"■",""))</x:f>
      </x:c>
      <x:c r="AG14" s="46" t="str">
        <x:f>IF(OR($G14="",$H14=""),"",IF(AND(AG$5&lt;=$H14,AG$5+6&gt;=$G14),"■",""))</x:f>
      </x:c>
      <x:c r="AH14" s="46" t="str">
        <x:f>IF(OR($G14="",$H14=""),"",IF(AND(AH$5&lt;=$H14,AH$5+6&gt;=$G14),"■",""))</x:f>
      </x:c>
      <x:c r="AI14" s="46" t="str">
        <x:f>IF(OR($G14="",$H14=""),"",IF(AND(AI$5&lt;=$H14,AI$5+6&gt;=$G14),"■",""))</x:f>
      </x:c>
      <x:c r="AJ14" s="46" t="str">
        <x:f>IF(OR($G14="",$H14=""),"",IF(AND(AJ$5&lt;=$H14,AJ$5+6&gt;=$G14),"■",""))</x:f>
      </x:c>
      <x:c r="AK14" s="46" t="str">
        <x:f>IF(OR($G14="",$H14=""),"",IF(AND(AK$5&lt;=$H14,AK$5+6&gt;=$G14),"■",""))</x:f>
      </x:c>
      <x:c r="AL14" s="46" t="str">
        <x:f>IF(OR($G14="",$H14=""),"",IF(AND(AL$5&lt;=$H14,AL$5+6&gt;=$G14),"■",""))</x:f>
      </x:c>
      <x:c r="AM14" s="46" t="str">
        <x:f>IF(OR($G14="",$H14=""),"",IF(AND(AM$5&lt;=$H14,AM$5+6&gt;=$G14),"■",""))</x:f>
      </x:c>
    </x:row>
    <x:row r="15" ht="28" customHeight="1">
      <x:c r="A15" s="26" t="str">
        <x:v>UX-R1-001</x:v>
      </x:c>
      <x:c r="B15" s="26" t="str">
        <x:v>Calendar/Day/Upload Designs</x:v>
      </x:c>
      <x:c r="C15" s="26" t="str">
        <x:v>Backlog</x:v>
      </x:c>
      <x:c r="D15" s="26" t="str">
        <x:v>Incomplete</x:v>
      </x:c>
      <x:c r="E15" s="26" t="str">
        <x:v>No</x:v>
      </x:c>
      <x:c r="F15" s="26" t="str">
        <x:v>R1</x:v>
      </x:c>
      <x:c r="G15" s="35" t="n">
        <x:v>46265</x:v>
      </x:c>
      <x:c r="H15" s="35" t="n">
        <x:v>46269</x:v>
      </x:c>
      <x:c r="I15" s="46" t="str">
        <x:f>IF(OR($G15="",$H15=""),"",IF(AND(I$5&lt;=$H15,I$5+6&gt;=$G15),"■",""))</x:f>
      </x:c>
      <x:c r="J15" s="46" t="str">
        <x:f>IF(OR($G15="",$H15=""),"",IF(AND(J$5&lt;=$H15,J$5+6&gt;=$G15),"■",""))</x:f>
      </x:c>
      <x:c r="K15" s="46" t="str">
        <x:f>IF(OR($G15="",$H15=""),"",IF(AND(K$5&lt;=$H15,K$5+6&gt;=$G15),"■",""))</x:f>
        <x:v>■</x:v>
      </x:c>
      <x:c r="L15" s="46" t="str">
        <x:f>IF(OR($G15="",$H15=""),"",IF(AND(L$5&lt;=$H15,L$5+6&gt;=$G15),"■",""))</x:f>
      </x:c>
      <x:c r="M15" s="46" t="str">
        <x:f>IF(OR($G15="",$H15=""),"",IF(AND(M$5&lt;=$H15,M$5+6&gt;=$G15),"■",""))</x:f>
      </x:c>
      <x:c r="N15" s="46" t="str">
        <x:f>IF(OR($G15="",$H15=""),"",IF(AND(N$5&lt;=$H15,N$5+6&gt;=$G15),"■",""))</x:f>
      </x:c>
      <x:c r="O15" s="46" t="str">
        <x:f>IF(OR($G15="",$H15=""),"",IF(AND(O$5&lt;=$H15,O$5+6&gt;=$G15),"■",""))</x:f>
      </x:c>
      <x:c r="P15" s="46" t="str">
        <x:f>IF(OR($G15="",$H15=""),"",IF(AND(P$5&lt;=$H15,P$5+6&gt;=$G15),"■",""))</x:f>
      </x:c>
      <x:c r="Q15" s="46" t="str">
        <x:f>IF(OR($G15="",$H15=""),"",IF(AND(Q$5&lt;=$H15,Q$5+6&gt;=$G15),"■",""))</x:f>
      </x:c>
      <x:c r="R15" s="46" t="str">
        <x:f>IF(OR($G15="",$H15=""),"",IF(AND(R$5&lt;=$H15,R$5+6&gt;=$G15),"■",""))</x:f>
      </x:c>
      <x:c r="S15" s="46" t="str">
        <x:f>IF(OR($G15="",$H15=""),"",IF(AND(S$5&lt;=$H15,S$5+6&gt;=$G15),"■",""))</x:f>
      </x:c>
      <x:c r="T15" s="46" t="str">
        <x:f>IF(OR($G15="",$H15=""),"",IF(AND(T$5&lt;=$H15,T$5+6&gt;=$G15),"■",""))</x:f>
      </x:c>
      <x:c r="U15" s="46" t="str">
        <x:f>IF(OR($G15="",$H15=""),"",IF(AND(U$5&lt;=$H15,U$5+6&gt;=$G15),"■",""))</x:f>
      </x:c>
      <x:c r="V15" s="46" t="str">
        <x:f>IF(OR($G15="",$H15=""),"",IF(AND(V$5&lt;=$H15,V$5+6&gt;=$G15),"■",""))</x:f>
      </x:c>
      <x:c r="W15" s="46" t="str">
        <x:f>IF(OR($G15="",$H15=""),"",IF(AND(W$5&lt;=$H15,W$5+6&gt;=$G15),"■",""))</x:f>
      </x:c>
      <x:c r="X15" s="46" t="str">
        <x:f>IF(OR($G15="",$H15=""),"",IF(AND(X$5&lt;=$H15,X$5+6&gt;=$G15),"■",""))</x:f>
      </x:c>
      <x:c r="Y15" s="46" t="str">
        <x:f>IF(OR($G15="",$H15=""),"",IF(AND(Y$5&lt;=$H15,Y$5+6&gt;=$G15),"■",""))</x:f>
      </x:c>
      <x:c r="Z15" s="46" t="str">
        <x:f>IF(OR($G15="",$H15=""),"",IF(AND(Z$5&lt;=$H15,Z$5+6&gt;=$G15),"■",""))</x:f>
      </x:c>
      <x:c r="AA15" s="46" t="str">
        <x:f>IF(OR($G15="",$H15=""),"",IF(AND(AA$5&lt;=$H15,AA$5+6&gt;=$G15),"■",""))</x:f>
      </x:c>
      <x:c r="AB15" s="46" t="str">
        <x:f>IF(OR($G15="",$H15=""),"",IF(AND(AB$5&lt;=$H15,AB$5+6&gt;=$G15),"■",""))</x:f>
      </x:c>
      <x:c r="AC15" s="46" t="str">
        <x:f>IF(OR($G15="",$H15=""),"",IF(AND(AC$5&lt;=$H15,AC$5+6&gt;=$G15),"■",""))</x:f>
      </x:c>
      <x:c r="AD15" s="46" t="str">
        <x:f>IF(OR($G15="",$H15=""),"",IF(AND(AD$5&lt;=$H15,AD$5+6&gt;=$G15),"■",""))</x:f>
      </x:c>
      <x:c r="AE15" s="46" t="str">
        <x:f>IF(OR($G15="",$H15=""),"",IF(AND(AE$5&lt;=$H15,AE$5+6&gt;=$G15),"■",""))</x:f>
      </x:c>
      <x:c r="AF15" s="46" t="str">
        <x:f>IF(OR($G15="",$H15=""),"",IF(AND(AF$5&lt;=$H15,AF$5+6&gt;=$G15),"■",""))</x:f>
      </x:c>
      <x:c r="AG15" s="46" t="str">
        <x:f>IF(OR($G15="",$H15=""),"",IF(AND(AG$5&lt;=$H15,AG$5+6&gt;=$G15),"■",""))</x:f>
      </x:c>
      <x:c r="AH15" s="46" t="str">
        <x:f>IF(OR($G15="",$H15=""),"",IF(AND(AH$5&lt;=$H15,AH$5+6&gt;=$G15),"■",""))</x:f>
      </x:c>
      <x:c r="AI15" s="46" t="str">
        <x:f>IF(OR($G15="",$H15=""),"",IF(AND(AI$5&lt;=$H15,AI$5+6&gt;=$G15),"■",""))</x:f>
      </x:c>
      <x:c r="AJ15" s="46" t="str">
        <x:f>IF(OR($G15="",$H15=""),"",IF(AND(AJ$5&lt;=$H15,AJ$5+6&gt;=$G15),"■",""))</x:f>
      </x:c>
      <x:c r="AK15" s="46" t="str">
        <x:f>IF(OR($G15="",$H15=""),"",IF(AND(AK$5&lt;=$H15,AK$5+6&gt;=$G15),"■",""))</x:f>
      </x:c>
      <x:c r="AL15" s="46" t="str">
        <x:f>IF(OR($G15="",$H15=""),"",IF(AND(AL$5&lt;=$H15,AL$5+6&gt;=$G15),"■",""))</x:f>
      </x:c>
      <x:c r="AM15" s="46" t="str">
        <x:f>IF(OR($G15="",$H15=""),"",IF(AND(AM$5&lt;=$H15,AM$5+6&gt;=$G15),"■",""))</x:f>
      </x:c>
    </x:row>
    <x:row r="16" ht="28" customHeight="1">
      <x:c r="A16" s="26" t="str">
        <x:v>ARCH-R1-001</x:v>
      </x:c>
      <x:c r="B16" s="26" t="str">
        <x:v>Journal/Source/Encryption Schema</x:v>
      </x:c>
      <x:c r="C16" s="26" t="str">
        <x:v>Backlog</x:v>
      </x:c>
      <x:c r="D16" s="26" t="str">
        <x:v>Incomplete</x:v>
      </x:c>
      <x:c r="E16" s="26" t="str">
        <x:v>No</x:v>
      </x:c>
      <x:c r="F16" s="26" t="str">
        <x:v>R1</x:v>
      </x:c>
      <x:c r="G16" s="35" t="n">
        <x:v>46265</x:v>
      </x:c>
      <x:c r="H16" s="35" t="n">
        <x:v>46269</x:v>
      </x:c>
      <x:c r="I16" s="46" t="str">
        <x:f>IF(OR($G16="",$H16=""),"",IF(AND(I$5&lt;=$H16,I$5+6&gt;=$G16),"■",""))</x:f>
      </x:c>
      <x:c r="J16" s="46" t="str">
        <x:f>IF(OR($G16="",$H16=""),"",IF(AND(J$5&lt;=$H16,J$5+6&gt;=$G16),"■",""))</x:f>
      </x:c>
      <x:c r="K16" s="46" t="str">
        <x:f>IF(OR($G16="",$H16=""),"",IF(AND(K$5&lt;=$H16,K$5+6&gt;=$G16),"■",""))</x:f>
        <x:v>■</x:v>
      </x:c>
      <x:c r="L16" s="46" t="str">
        <x:f>IF(OR($G16="",$H16=""),"",IF(AND(L$5&lt;=$H16,L$5+6&gt;=$G16),"■",""))</x:f>
      </x:c>
      <x:c r="M16" s="46" t="str">
        <x:f>IF(OR($G16="",$H16=""),"",IF(AND(M$5&lt;=$H16,M$5+6&gt;=$G16),"■",""))</x:f>
      </x:c>
      <x:c r="N16" s="46" t="str">
        <x:f>IF(OR($G16="",$H16=""),"",IF(AND(N$5&lt;=$H16,N$5+6&gt;=$G16),"■",""))</x:f>
      </x:c>
      <x:c r="O16" s="46" t="str">
        <x:f>IF(OR($G16="",$H16=""),"",IF(AND(O$5&lt;=$H16,O$5+6&gt;=$G16),"■",""))</x:f>
      </x:c>
      <x:c r="P16" s="46" t="str">
        <x:f>IF(OR($G16="",$H16=""),"",IF(AND(P$5&lt;=$H16,P$5+6&gt;=$G16),"■",""))</x:f>
      </x:c>
      <x:c r="Q16" s="46" t="str">
        <x:f>IF(OR($G16="",$H16=""),"",IF(AND(Q$5&lt;=$H16,Q$5+6&gt;=$G16),"■",""))</x:f>
      </x:c>
      <x:c r="R16" s="46" t="str">
        <x:f>IF(OR($G16="",$H16=""),"",IF(AND(R$5&lt;=$H16,R$5+6&gt;=$G16),"■",""))</x:f>
      </x:c>
      <x:c r="S16" s="46" t="str">
        <x:f>IF(OR($G16="",$H16=""),"",IF(AND(S$5&lt;=$H16,S$5+6&gt;=$G16),"■",""))</x:f>
      </x:c>
      <x:c r="T16" s="46" t="str">
        <x:f>IF(OR($G16="",$H16=""),"",IF(AND(T$5&lt;=$H16,T$5+6&gt;=$G16),"■",""))</x:f>
      </x:c>
      <x:c r="U16" s="46" t="str">
        <x:f>IF(OR($G16="",$H16=""),"",IF(AND(U$5&lt;=$H16,U$5+6&gt;=$G16),"■",""))</x:f>
      </x:c>
      <x:c r="V16" s="46" t="str">
        <x:f>IF(OR($G16="",$H16=""),"",IF(AND(V$5&lt;=$H16,V$5+6&gt;=$G16),"■",""))</x:f>
      </x:c>
      <x:c r="W16" s="46" t="str">
        <x:f>IF(OR($G16="",$H16=""),"",IF(AND(W$5&lt;=$H16,W$5+6&gt;=$G16),"■",""))</x:f>
      </x:c>
      <x:c r="X16" s="46" t="str">
        <x:f>IF(OR($G16="",$H16=""),"",IF(AND(X$5&lt;=$H16,X$5+6&gt;=$G16),"■",""))</x:f>
      </x:c>
      <x:c r="Y16" s="46" t="str">
        <x:f>IF(OR($G16="",$H16=""),"",IF(AND(Y$5&lt;=$H16,Y$5+6&gt;=$G16),"■",""))</x:f>
      </x:c>
      <x:c r="Z16" s="46" t="str">
        <x:f>IF(OR($G16="",$H16=""),"",IF(AND(Z$5&lt;=$H16,Z$5+6&gt;=$G16),"■",""))</x:f>
      </x:c>
      <x:c r="AA16" s="46" t="str">
        <x:f>IF(OR($G16="",$H16=""),"",IF(AND(AA$5&lt;=$H16,AA$5+6&gt;=$G16),"■",""))</x:f>
      </x:c>
      <x:c r="AB16" s="46" t="str">
        <x:f>IF(OR($G16="",$H16=""),"",IF(AND(AB$5&lt;=$H16,AB$5+6&gt;=$G16),"■",""))</x:f>
      </x:c>
      <x:c r="AC16" s="46" t="str">
        <x:f>IF(OR($G16="",$H16=""),"",IF(AND(AC$5&lt;=$H16,AC$5+6&gt;=$G16),"■",""))</x:f>
      </x:c>
      <x:c r="AD16" s="46" t="str">
        <x:f>IF(OR($G16="",$H16=""),"",IF(AND(AD$5&lt;=$H16,AD$5+6&gt;=$G16),"■",""))</x:f>
      </x:c>
      <x:c r="AE16" s="46" t="str">
        <x:f>IF(OR($G16="",$H16=""),"",IF(AND(AE$5&lt;=$H16,AE$5+6&gt;=$G16),"■",""))</x:f>
      </x:c>
      <x:c r="AF16" s="46" t="str">
        <x:f>IF(OR($G16="",$H16=""),"",IF(AND(AF$5&lt;=$H16,AF$5+6&gt;=$G16),"■",""))</x:f>
      </x:c>
      <x:c r="AG16" s="46" t="str">
        <x:f>IF(OR($G16="",$H16=""),"",IF(AND(AG$5&lt;=$H16,AG$5+6&gt;=$G16),"■",""))</x:f>
      </x:c>
      <x:c r="AH16" s="46" t="str">
        <x:f>IF(OR($G16="",$H16=""),"",IF(AND(AH$5&lt;=$H16,AH$5+6&gt;=$G16),"■",""))</x:f>
      </x:c>
      <x:c r="AI16" s="46" t="str">
        <x:f>IF(OR($G16="",$H16=""),"",IF(AND(AI$5&lt;=$H16,AI$5+6&gt;=$G16),"■",""))</x:f>
      </x:c>
      <x:c r="AJ16" s="46" t="str">
        <x:f>IF(OR($G16="",$H16=""),"",IF(AND(AJ$5&lt;=$H16,AJ$5+6&gt;=$G16),"■",""))</x:f>
      </x:c>
      <x:c r="AK16" s="46" t="str">
        <x:f>IF(OR($G16="",$H16=""),"",IF(AND(AK$5&lt;=$H16,AK$5+6&gt;=$G16),"■",""))</x:f>
      </x:c>
      <x:c r="AL16" s="46" t="str">
        <x:f>IF(OR($G16="",$H16=""),"",IF(AND(AL$5&lt;=$H16,AL$5+6&gt;=$G16),"■",""))</x:f>
      </x:c>
      <x:c r="AM16" s="46" t="str">
        <x:f>IF(OR($G16="",$H16=""),"",IF(AND(AM$5&lt;=$H16,AM$5+6&gt;=$G16),"■",""))</x:f>
      </x:c>
    </x:row>
    <x:row r="17" ht="28" customHeight="1">
      <x:c r="A17" s="26" t="str">
        <x:v>ENG-R1-001</x:v>
      </x:c>
      <x:c r="B17" s="26" t="str">
        <x:v>Manual Upload &amp; Reflection Core</x:v>
      </x:c>
      <x:c r="C17" s="26" t="str">
        <x:v>Backlog</x:v>
      </x:c>
      <x:c r="D17" s="26" t="str">
        <x:v>Incomplete</x:v>
      </x:c>
      <x:c r="E17" s="26" t="str">
        <x:v>No</x:v>
      </x:c>
      <x:c r="F17" s="26" t="str">
        <x:v>R1</x:v>
      </x:c>
      <x:c r="G17" s="35" t="n">
        <x:v>46268</x:v>
      </x:c>
      <x:c r="H17" s="35" t="n">
        <x:v>46280</x:v>
      </x:c>
      <x:c r="I17" s="46" t="str">
        <x:f>IF(OR($G17="",$H17=""),"",IF(AND(I$5&lt;=$H17,I$5+6&gt;=$G17),"■",""))</x:f>
      </x:c>
      <x:c r="J17" s="46" t="str">
        <x:f>IF(OR($G17="",$H17=""),"",IF(AND(J$5&lt;=$H17,J$5+6&gt;=$G17),"■",""))</x:f>
      </x:c>
      <x:c r="K17" s="46" t="str">
        <x:f>IF(OR($G17="",$H17=""),"",IF(AND(K$5&lt;=$H17,K$5+6&gt;=$G17),"■",""))</x:f>
        <x:v>■</x:v>
      </x:c>
      <x:c r="L17" s="46" t="str">
        <x:f>IF(OR($G17="",$H17=""),"",IF(AND(L$5&lt;=$H17,L$5+6&gt;=$G17),"■",""))</x:f>
        <x:v>■</x:v>
      </x:c>
      <x:c r="M17" s="46" t="str">
        <x:f>IF(OR($G17="",$H17=""),"",IF(AND(M$5&lt;=$H17,M$5+6&gt;=$G17),"■",""))</x:f>
        <x:v>■</x:v>
      </x:c>
      <x:c r="N17" s="46" t="str">
        <x:f>IF(OR($G17="",$H17=""),"",IF(AND(N$5&lt;=$H17,N$5+6&gt;=$G17),"■",""))</x:f>
      </x:c>
      <x:c r="O17" s="46" t="str">
        <x:f>IF(OR($G17="",$H17=""),"",IF(AND(O$5&lt;=$H17,O$5+6&gt;=$G17),"■",""))</x:f>
      </x:c>
      <x:c r="P17" s="46" t="str">
        <x:f>IF(OR($G17="",$H17=""),"",IF(AND(P$5&lt;=$H17,P$5+6&gt;=$G17),"■",""))</x:f>
      </x:c>
      <x:c r="Q17" s="46" t="str">
        <x:f>IF(OR($G17="",$H17=""),"",IF(AND(Q$5&lt;=$H17,Q$5+6&gt;=$G17),"■",""))</x:f>
      </x:c>
      <x:c r="R17" s="46" t="str">
        <x:f>IF(OR($G17="",$H17=""),"",IF(AND(R$5&lt;=$H17,R$5+6&gt;=$G17),"■",""))</x:f>
      </x:c>
      <x:c r="S17" s="46" t="str">
        <x:f>IF(OR($G17="",$H17=""),"",IF(AND(S$5&lt;=$H17,S$5+6&gt;=$G17),"■",""))</x:f>
      </x:c>
      <x:c r="T17" s="46" t="str">
        <x:f>IF(OR($G17="",$H17=""),"",IF(AND(T$5&lt;=$H17,T$5+6&gt;=$G17),"■",""))</x:f>
      </x:c>
      <x:c r="U17" s="46" t="str">
        <x:f>IF(OR($G17="",$H17=""),"",IF(AND(U$5&lt;=$H17,U$5+6&gt;=$G17),"■",""))</x:f>
      </x:c>
      <x:c r="V17" s="46" t="str">
        <x:f>IF(OR($G17="",$H17=""),"",IF(AND(V$5&lt;=$H17,V$5+6&gt;=$G17),"■",""))</x:f>
      </x:c>
      <x:c r="W17" s="46" t="str">
        <x:f>IF(OR($G17="",$H17=""),"",IF(AND(W$5&lt;=$H17,W$5+6&gt;=$G17),"■",""))</x:f>
      </x:c>
      <x:c r="X17" s="46" t="str">
        <x:f>IF(OR($G17="",$H17=""),"",IF(AND(X$5&lt;=$H17,X$5+6&gt;=$G17),"■",""))</x:f>
      </x:c>
      <x:c r="Y17" s="46" t="str">
        <x:f>IF(OR($G17="",$H17=""),"",IF(AND(Y$5&lt;=$H17,Y$5+6&gt;=$G17),"■",""))</x:f>
      </x:c>
      <x:c r="Z17" s="46" t="str">
        <x:f>IF(OR($G17="",$H17=""),"",IF(AND(Z$5&lt;=$H17,Z$5+6&gt;=$G17),"■",""))</x:f>
      </x:c>
      <x:c r="AA17" s="46" t="str">
        <x:f>IF(OR($G17="",$H17=""),"",IF(AND(AA$5&lt;=$H17,AA$5+6&gt;=$G17),"■",""))</x:f>
      </x:c>
      <x:c r="AB17" s="46" t="str">
        <x:f>IF(OR($G17="",$H17=""),"",IF(AND(AB$5&lt;=$H17,AB$5+6&gt;=$G17),"■",""))</x:f>
      </x:c>
      <x:c r="AC17" s="46" t="str">
        <x:f>IF(OR($G17="",$H17=""),"",IF(AND(AC$5&lt;=$H17,AC$5+6&gt;=$G17),"■",""))</x:f>
      </x:c>
      <x:c r="AD17" s="46" t="str">
        <x:f>IF(OR($G17="",$H17=""),"",IF(AND(AD$5&lt;=$H17,AD$5+6&gt;=$G17),"■",""))</x:f>
      </x:c>
      <x:c r="AE17" s="46" t="str">
        <x:f>IF(OR($G17="",$H17=""),"",IF(AND(AE$5&lt;=$H17,AE$5+6&gt;=$G17),"■",""))</x:f>
      </x:c>
      <x:c r="AF17" s="46" t="str">
        <x:f>IF(OR($G17="",$H17=""),"",IF(AND(AF$5&lt;=$H17,AF$5+6&gt;=$G17),"■",""))</x:f>
      </x:c>
      <x:c r="AG17" s="46" t="str">
        <x:f>IF(OR($G17="",$H17=""),"",IF(AND(AG$5&lt;=$H17,AG$5+6&gt;=$G17),"■",""))</x:f>
      </x:c>
      <x:c r="AH17" s="46" t="str">
        <x:f>IF(OR($G17="",$H17=""),"",IF(AND(AH$5&lt;=$H17,AH$5+6&gt;=$G17),"■",""))</x:f>
      </x:c>
      <x:c r="AI17" s="46" t="str">
        <x:f>IF(OR($G17="",$H17=""),"",IF(AND(AI$5&lt;=$H17,AI$5+6&gt;=$G17),"■",""))</x:f>
      </x:c>
      <x:c r="AJ17" s="46" t="str">
        <x:f>IF(OR($G17="",$H17=""),"",IF(AND(AJ$5&lt;=$H17,AJ$5+6&gt;=$G17),"■",""))</x:f>
      </x:c>
      <x:c r="AK17" s="46" t="str">
        <x:f>IF(OR($G17="",$H17=""),"",IF(AND(AK$5&lt;=$H17,AK$5+6&gt;=$G17),"■",""))</x:f>
      </x:c>
      <x:c r="AL17" s="46" t="str">
        <x:f>IF(OR($G17="",$H17=""),"",IF(AND(AL$5&lt;=$H17,AL$5+6&gt;=$G17),"■",""))</x:f>
      </x:c>
      <x:c r="AM17" s="46" t="str">
        <x:f>IF(OR($G17="",$H17=""),"",IF(AND(AM$5&lt;=$H17,AM$5+6&gt;=$G17),"■",""))</x:f>
      </x:c>
    </x:row>
    <x:row r="18" ht="28" customHeight="1">
      <x:c r="A18" s="26" t="str">
        <x:v>REL-R1-001</x:v>
      </x:c>
      <x:c r="B18" s="26" t="str">
        <x:v>First-memory Restore/Rollback Acceptance</x:v>
      </x:c>
      <x:c r="C18" s="26" t="str">
        <x:v>Backlog</x:v>
      </x:c>
      <x:c r="D18" s="26" t="str">
        <x:v>Incomplete</x:v>
      </x:c>
      <x:c r="E18" s="26" t="str">
        <x:v>No</x:v>
      </x:c>
      <x:c r="F18" s="26" t="str">
        <x:v>R1</x:v>
      </x:c>
      <x:c r="G18" s="35" t="n">
        <x:v>46281</x:v>
      </x:c>
      <x:c r="H18" s="35" t="n">
        <x:v>46283</x:v>
      </x:c>
      <x:c r="I18" s="46" t="str">
        <x:f>IF(OR($G18="",$H18=""),"",IF(AND(I$5&lt;=$H18,I$5+6&gt;=$G18),"■",""))</x:f>
      </x:c>
      <x:c r="J18" s="46" t="str">
        <x:f>IF(OR($G18="",$H18=""),"",IF(AND(J$5&lt;=$H18,J$5+6&gt;=$G18),"■",""))</x:f>
      </x:c>
      <x:c r="K18" s="46" t="str">
        <x:f>IF(OR($G18="",$H18=""),"",IF(AND(K$5&lt;=$H18,K$5+6&gt;=$G18),"■",""))</x:f>
      </x:c>
      <x:c r="L18" s="46" t="str">
        <x:f>IF(OR($G18="",$H18=""),"",IF(AND(L$5&lt;=$H18,L$5+6&gt;=$G18),"■",""))</x:f>
      </x:c>
      <x:c r="M18" s="46" t="str">
        <x:f>IF(OR($G18="",$H18=""),"",IF(AND(M$5&lt;=$H18,M$5+6&gt;=$G18),"■",""))</x:f>
        <x:v>■</x:v>
      </x:c>
      <x:c r="N18" s="46" t="str">
        <x:f>IF(OR($G18="",$H18=""),"",IF(AND(N$5&lt;=$H18,N$5+6&gt;=$G18),"■",""))</x:f>
      </x:c>
      <x:c r="O18" s="46" t="str">
        <x:f>IF(OR($G18="",$H18=""),"",IF(AND(O$5&lt;=$H18,O$5+6&gt;=$G18),"■",""))</x:f>
      </x:c>
      <x:c r="P18" s="46" t="str">
        <x:f>IF(OR($G18="",$H18=""),"",IF(AND(P$5&lt;=$H18,P$5+6&gt;=$G18),"■",""))</x:f>
      </x:c>
      <x:c r="Q18" s="46" t="str">
        <x:f>IF(OR($G18="",$H18=""),"",IF(AND(Q$5&lt;=$H18,Q$5+6&gt;=$G18),"■",""))</x:f>
      </x:c>
      <x:c r="R18" s="46" t="str">
        <x:f>IF(OR($G18="",$H18=""),"",IF(AND(R$5&lt;=$H18,R$5+6&gt;=$G18),"■",""))</x:f>
      </x:c>
      <x:c r="S18" s="46" t="str">
        <x:f>IF(OR($G18="",$H18=""),"",IF(AND(S$5&lt;=$H18,S$5+6&gt;=$G18),"■",""))</x:f>
      </x:c>
      <x:c r="T18" s="46" t="str">
        <x:f>IF(OR($G18="",$H18=""),"",IF(AND(T$5&lt;=$H18,T$5+6&gt;=$G18),"■",""))</x:f>
      </x:c>
      <x:c r="U18" s="46" t="str">
        <x:f>IF(OR($G18="",$H18=""),"",IF(AND(U$5&lt;=$H18,U$5+6&gt;=$G18),"■",""))</x:f>
      </x:c>
      <x:c r="V18" s="46" t="str">
        <x:f>IF(OR($G18="",$H18=""),"",IF(AND(V$5&lt;=$H18,V$5+6&gt;=$G18),"■",""))</x:f>
      </x:c>
      <x:c r="W18" s="46" t="str">
        <x:f>IF(OR($G18="",$H18=""),"",IF(AND(W$5&lt;=$H18,W$5+6&gt;=$G18),"■",""))</x:f>
      </x:c>
      <x:c r="X18" s="46" t="str">
        <x:f>IF(OR($G18="",$H18=""),"",IF(AND(X$5&lt;=$H18,X$5+6&gt;=$G18),"■",""))</x:f>
      </x:c>
      <x:c r="Y18" s="46" t="str">
        <x:f>IF(OR($G18="",$H18=""),"",IF(AND(Y$5&lt;=$H18,Y$5+6&gt;=$G18),"■",""))</x:f>
      </x:c>
      <x:c r="Z18" s="46" t="str">
        <x:f>IF(OR($G18="",$H18=""),"",IF(AND(Z$5&lt;=$H18,Z$5+6&gt;=$G18),"■",""))</x:f>
      </x:c>
      <x:c r="AA18" s="46" t="str">
        <x:f>IF(OR($G18="",$H18=""),"",IF(AND(AA$5&lt;=$H18,AA$5+6&gt;=$G18),"■",""))</x:f>
      </x:c>
      <x:c r="AB18" s="46" t="str">
        <x:f>IF(OR($G18="",$H18=""),"",IF(AND(AB$5&lt;=$H18,AB$5+6&gt;=$G18),"■",""))</x:f>
      </x:c>
      <x:c r="AC18" s="46" t="str">
        <x:f>IF(OR($G18="",$H18=""),"",IF(AND(AC$5&lt;=$H18,AC$5+6&gt;=$G18),"■",""))</x:f>
      </x:c>
      <x:c r="AD18" s="46" t="str">
        <x:f>IF(OR($G18="",$H18=""),"",IF(AND(AD$5&lt;=$H18,AD$5+6&gt;=$G18),"■",""))</x:f>
      </x:c>
      <x:c r="AE18" s="46" t="str">
        <x:f>IF(OR($G18="",$H18=""),"",IF(AND(AE$5&lt;=$H18,AE$5+6&gt;=$G18),"■",""))</x:f>
      </x:c>
      <x:c r="AF18" s="46" t="str">
        <x:f>IF(OR($G18="",$H18=""),"",IF(AND(AF$5&lt;=$H18,AF$5+6&gt;=$G18),"■",""))</x:f>
      </x:c>
      <x:c r="AG18" s="46" t="str">
        <x:f>IF(OR($G18="",$H18=""),"",IF(AND(AG$5&lt;=$H18,AG$5+6&gt;=$G18),"■",""))</x:f>
      </x:c>
      <x:c r="AH18" s="46" t="str">
        <x:f>IF(OR($G18="",$H18=""),"",IF(AND(AH$5&lt;=$H18,AH$5+6&gt;=$G18),"■",""))</x:f>
      </x:c>
      <x:c r="AI18" s="46" t="str">
        <x:f>IF(OR($G18="",$H18=""),"",IF(AND(AI$5&lt;=$H18,AI$5+6&gt;=$G18),"■",""))</x:f>
      </x:c>
      <x:c r="AJ18" s="46" t="str">
        <x:f>IF(OR($G18="",$H18=""),"",IF(AND(AJ$5&lt;=$H18,AJ$5+6&gt;=$G18),"■",""))</x:f>
      </x:c>
      <x:c r="AK18" s="46" t="str">
        <x:f>IF(OR($G18="",$H18=""),"",IF(AND(AK$5&lt;=$H18,AK$5+6&gt;=$G18),"■",""))</x:f>
      </x:c>
      <x:c r="AL18" s="46" t="str">
        <x:f>IF(OR($G18="",$H18=""),"",IF(AND(AL$5&lt;=$H18,AL$5+6&gt;=$G18),"■",""))</x:f>
      </x:c>
      <x:c r="AM18" s="46" t="str">
        <x:f>IF(OR($G18="",$H18=""),"",IF(AND(AM$5&lt;=$H18,AM$5+6&gt;=$G18),"■",""))</x:f>
      </x:c>
    </x:row>
    <x:row r="19" ht="28" customHeight="1">
      <x:c r="A19" s="26" t="str">
        <x:v>PRD-R2-001</x:v>
      </x:c>
      <x:c r="B19" s="26" t="str">
        <x:v>Telegram Capture PRD</x:v>
      </x:c>
      <x:c r="C19" s="26" t="str">
        <x:v>Done</x:v>
      </x:c>
      <x:c r="D19" s="26" t="str">
        <x:v>Incomplete</x:v>
      </x:c>
      <x:c r="E19" s="26" t="str">
        <x:v>No</x:v>
      </x:c>
      <x:c r="F19" s="26" t="str">
        <x:v>R2</x:v>
      </x:c>
      <x:c r="G19" s="35" t="n">
        <x:v>46286</x:v>
      </x:c>
      <x:c r="H19" s="35" t="n">
        <x:v>46288</x:v>
      </x:c>
      <x:c r="I19" s="46" t="str">
        <x:f>IF(OR($G19="",$H19=""),"",IF(AND(I$5&lt;=$H19,I$5+6&gt;=$G19),"■",""))</x:f>
      </x:c>
      <x:c r="J19" s="46" t="str">
        <x:f>IF(OR($G19="",$H19=""),"",IF(AND(J$5&lt;=$H19,J$5+6&gt;=$G19),"■",""))</x:f>
      </x:c>
      <x:c r="K19" s="46" t="str">
        <x:f>IF(OR($G19="",$H19=""),"",IF(AND(K$5&lt;=$H19,K$5+6&gt;=$G19),"■",""))</x:f>
      </x:c>
      <x:c r="L19" s="46" t="str">
        <x:f>IF(OR($G19="",$H19=""),"",IF(AND(L$5&lt;=$H19,L$5+6&gt;=$G19),"■",""))</x:f>
      </x:c>
      <x:c r="M19" s="46" t="str">
        <x:f>IF(OR($G19="",$H19=""),"",IF(AND(M$5&lt;=$H19,M$5+6&gt;=$G19),"■",""))</x:f>
      </x:c>
      <x:c r="N19" s="46" t="str">
        <x:f>IF(OR($G19="",$H19=""),"",IF(AND(N$5&lt;=$H19,N$5+6&gt;=$G19),"■",""))</x:f>
        <x:v>■</x:v>
      </x:c>
      <x:c r="O19" s="46" t="str">
        <x:f>IF(OR($G19="",$H19=""),"",IF(AND(O$5&lt;=$H19,O$5+6&gt;=$G19),"■",""))</x:f>
      </x:c>
      <x:c r="P19" s="46" t="str">
        <x:f>IF(OR($G19="",$H19=""),"",IF(AND(P$5&lt;=$H19,P$5+6&gt;=$G19),"■",""))</x:f>
      </x:c>
      <x:c r="Q19" s="46" t="str">
        <x:f>IF(OR($G19="",$H19=""),"",IF(AND(Q$5&lt;=$H19,Q$5+6&gt;=$G19),"■",""))</x:f>
      </x:c>
      <x:c r="R19" s="46" t="str">
        <x:f>IF(OR($G19="",$H19=""),"",IF(AND(R$5&lt;=$H19,R$5+6&gt;=$G19),"■",""))</x:f>
      </x:c>
      <x:c r="S19" s="46" t="str">
        <x:f>IF(OR($G19="",$H19=""),"",IF(AND(S$5&lt;=$H19,S$5+6&gt;=$G19),"■",""))</x:f>
      </x:c>
      <x:c r="T19" s="46" t="str">
        <x:f>IF(OR($G19="",$H19=""),"",IF(AND(T$5&lt;=$H19,T$5+6&gt;=$G19),"■",""))</x:f>
      </x:c>
      <x:c r="U19" s="46" t="str">
        <x:f>IF(OR($G19="",$H19=""),"",IF(AND(U$5&lt;=$H19,U$5+6&gt;=$G19),"■",""))</x:f>
      </x:c>
      <x:c r="V19" s="46" t="str">
        <x:f>IF(OR($G19="",$H19=""),"",IF(AND(V$5&lt;=$H19,V$5+6&gt;=$G19),"■",""))</x:f>
      </x:c>
      <x:c r="W19" s="46" t="str">
        <x:f>IF(OR($G19="",$H19=""),"",IF(AND(W$5&lt;=$H19,W$5+6&gt;=$G19),"■",""))</x:f>
      </x:c>
      <x:c r="X19" s="46" t="str">
        <x:f>IF(OR($G19="",$H19=""),"",IF(AND(X$5&lt;=$H19,X$5+6&gt;=$G19),"■",""))</x:f>
      </x:c>
      <x:c r="Y19" s="46" t="str">
        <x:f>IF(OR($G19="",$H19=""),"",IF(AND(Y$5&lt;=$H19,Y$5+6&gt;=$G19),"■",""))</x:f>
      </x:c>
      <x:c r="Z19" s="46" t="str">
        <x:f>IF(OR($G19="",$H19=""),"",IF(AND(Z$5&lt;=$H19,Z$5+6&gt;=$G19),"■",""))</x:f>
      </x:c>
      <x:c r="AA19" s="46" t="str">
        <x:f>IF(OR($G19="",$H19=""),"",IF(AND(AA$5&lt;=$H19,AA$5+6&gt;=$G19),"■",""))</x:f>
      </x:c>
      <x:c r="AB19" s="46" t="str">
        <x:f>IF(OR($G19="",$H19=""),"",IF(AND(AB$5&lt;=$H19,AB$5+6&gt;=$G19),"■",""))</x:f>
      </x:c>
      <x:c r="AC19" s="46" t="str">
        <x:f>IF(OR($G19="",$H19=""),"",IF(AND(AC$5&lt;=$H19,AC$5+6&gt;=$G19),"■",""))</x:f>
      </x:c>
      <x:c r="AD19" s="46" t="str">
        <x:f>IF(OR($G19="",$H19=""),"",IF(AND(AD$5&lt;=$H19,AD$5+6&gt;=$G19),"■",""))</x:f>
      </x:c>
      <x:c r="AE19" s="46" t="str">
        <x:f>IF(OR($G19="",$H19=""),"",IF(AND(AE$5&lt;=$H19,AE$5+6&gt;=$G19),"■",""))</x:f>
      </x:c>
      <x:c r="AF19" s="46" t="str">
        <x:f>IF(OR($G19="",$H19=""),"",IF(AND(AF$5&lt;=$H19,AF$5+6&gt;=$G19),"■",""))</x:f>
      </x:c>
      <x:c r="AG19" s="46" t="str">
        <x:f>IF(OR($G19="",$H19=""),"",IF(AND(AG$5&lt;=$H19,AG$5+6&gt;=$G19),"■",""))</x:f>
      </x:c>
      <x:c r="AH19" s="46" t="str">
        <x:f>IF(OR($G19="",$H19=""),"",IF(AND(AH$5&lt;=$H19,AH$5+6&gt;=$G19),"■",""))</x:f>
      </x:c>
      <x:c r="AI19" s="46" t="str">
        <x:f>IF(OR($G19="",$H19=""),"",IF(AND(AI$5&lt;=$H19,AI$5+6&gt;=$G19),"■",""))</x:f>
      </x:c>
      <x:c r="AJ19" s="46" t="str">
        <x:f>IF(OR($G19="",$H19=""),"",IF(AND(AJ$5&lt;=$H19,AJ$5+6&gt;=$G19),"■",""))</x:f>
      </x:c>
      <x:c r="AK19" s="46" t="str">
        <x:f>IF(OR($G19="",$H19=""),"",IF(AND(AK$5&lt;=$H19,AK$5+6&gt;=$G19),"■",""))</x:f>
      </x:c>
      <x:c r="AL19" s="46" t="str">
        <x:f>IF(OR($G19="",$H19=""),"",IF(AND(AL$5&lt;=$H19,AL$5+6&gt;=$G19),"■",""))</x:f>
      </x:c>
      <x:c r="AM19" s="46" t="str">
        <x:f>IF(OR($G19="",$H19=""),"",IF(AND(AM$5&lt;=$H19,AM$5+6&gt;=$G19),"■",""))</x:f>
      </x:c>
    </x:row>
    <x:row r="20" ht="28" customHeight="1">
      <x:c r="A20" s="26" t="str">
        <x:v>UX-R2-001</x:v>
      </x:c>
      <x:c r="B20" s="26" t="str">
        <x:v>Telegram/Date Review/Gallery Designs</x:v>
      </x:c>
      <x:c r="C20" s="26" t="str">
        <x:v>Backlog</x:v>
      </x:c>
      <x:c r="D20" s="26" t="str">
        <x:v>Incomplete</x:v>
      </x:c>
      <x:c r="E20" s="26" t="str">
        <x:v>No</x:v>
      </x:c>
      <x:c r="F20" s="26" t="str">
        <x:v>R2</x:v>
      </x:c>
      <x:c r="G20" s="35" t="n">
        <x:v>46286</x:v>
      </x:c>
      <x:c r="H20" s="35" t="n">
        <x:v>46290</x:v>
      </x:c>
      <x:c r="I20" s="46" t="str">
        <x:f>IF(OR($G20="",$H20=""),"",IF(AND(I$5&lt;=$H20,I$5+6&gt;=$G20),"■",""))</x:f>
      </x:c>
      <x:c r="J20" s="46" t="str">
        <x:f>IF(OR($G20="",$H20=""),"",IF(AND(J$5&lt;=$H20,J$5+6&gt;=$G20),"■",""))</x:f>
      </x:c>
      <x:c r="K20" s="46" t="str">
        <x:f>IF(OR($G20="",$H20=""),"",IF(AND(K$5&lt;=$H20,K$5+6&gt;=$G20),"■",""))</x:f>
      </x:c>
      <x:c r="L20" s="46" t="str">
        <x:f>IF(OR($G20="",$H20=""),"",IF(AND(L$5&lt;=$H20,L$5+6&gt;=$G20),"■",""))</x:f>
      </x:c>
      <x:c r="M20" s="46" t="str">
        <x:f>IF(OR($G20="",$H20=""),"",IF(AND(M$5&lt;=$H20,M$5+6&gt;=$G20),"■",""))</x:f>
      </x:c>
      <x:c r="N20" s="46" t="str">
        <x:f>IF(OR($G20="",$H20=""),"",IF(AND(N$5&lt;=$H20,N$5+6&gt;=$G20),"■",""))</x:f>
        <x:v>■</x:v>
      </x:c>
      <x:c r="O20" s="46" t="str">
        <x:f>IF(OR($G20="",$H20=""),"",IF(AND(O$5&lt;=$H20,O$5+6&gt;=$G20),"■",""))</x:f>
      </x:c>
      <x:c r="P20" s="46" t="str">
        <x:f>IF(OR($G20="",$H20=""),"",IF(AND(P$5&lt;=$H20,P$5+6&gt;=$G20),"■",""))</x:f>
      </x:c>
      <x:c r="Q20" s="46" t="str">
        <x:f>IF(OR($G20="",$H20=""),"",IF(AND(Q$5&lt;=$H20,Q$5+6&gt;=$G20),"■",""))</x:f>
      </x:c>
      <x:c r="R20" s="46" t="str">
        <x:f>IF(OR($G20="",$H20=""),"",IF(AND(R$5&lt;=$H20,R$5+6&gt;=$G20),"■",""))</x:f>
      </x:c>
      <x:c r="S20" s="46" t="str">
        <x:f>IF(OR($G20="",$H20=""),"",IF(AND(S$5&lt;=$H20,S$5+6&gt;=$G20),"■",""))</x:f>
      </x:c>
      <x:c r="T20" s="46" t="str">
        <x:f>IF(OR($G20="",$H20=""),"",IF(AND(T$5&lt;=$H20,T$5+6&gt;=$G20),"■",""))</x:f>
      </x:c>
      <x:c r="U20" s="46" t="str">
        <x:f>IF(OR($G20="",$H20=""),"",IF(AND(U$5&lt;=$H20,U$5+6&gt;=$G20),"■",""))</x:f>
      </x:c>
      <x:c r="V20" s="46" t="str">
        <x:f>IF(OR($G20="",$H20=""),"",IF(AND(V$5&lt;=$H20,V$5+6&gt;=$G20),"■",""))</x:f>
      </x:c>
      <x:c r="W20" s="46" t="str">
        <x:f>IF(OR($G20="",$H20=""),"",IF(AND(W$5&lt;=$H20,W$5+6&gt;=$G20),"■",""))</x:f>
      </x:c>
      <x:c r="X20" s="46" t="str">
        <x:f>IF(OR($G20="",$H20=""),"",IF(AND(X$5&lt;=$H20,X$5+6&gt;=$G20),"■",""))</x:f>
      </x:c>
      <x:c r="Y20" s="46" t="str">
        <x:f>IF(OR($G20="",$H20=""),"",IF(AND(Y$5&lt;=$H20,Y$5+6&gt;=$G20),"■",""))</x:f>
      </x:c>
      <x:c r="Z20" s="46" t="str">
        <x:f>IF(OR($G20="",$H20=""),"",IF(AND(Z$5&lt;=$H20,Z$5+6&gt;=$G20),"■",""))</x:f>
      </x:c>
      <x:c r="AA20" s="46" t="str">
        <x:f>IF(OR($G20="",$H20=""),"",IF(AND(AA$5&lt;=$H20,AA$5+6&gt;=$G20),"■",""))</x:f>
      </x:c>
      <x:c r="AB20" s="46" t="str">
        <x:f>IF(OR($G20="",$H20=""),"",IF(AND(AB$5&lt;=$H20,AB$5+6&gt;=$G20),"■",""))</x:f>
      </x:c>
      <x:c r="AC20" s="46" t="str">
        <x:f>IF(OR($G20="",$H20=""),"",IF(AND(AC$5&lt;=$H20,AC$5+6&gt;=$G20),"■",""))</x:f>
      </x:c>
      <x:c r="AD20" s="46" t="str">
        <x:f>IF(OR($G20="",$H20=""),"",IF(AND(AD$5&lt;=$H20,AD$5+6&gt;=$G20),"■",""))</x:f>
      </x:c>
      <x:c r="AE20" s="46" t="str">
        <x:f>IF(OR($G20="",$H20=""),"",IF(AND(AE$5&lt;=$H20,AE$5+6&gt;=$G20),"■",""))</x:f>
      </x:c>
      <x:c r="AF20" s="46" t="str">
        <x:f>IF(OR($G20="",$H20=""),"",IF(AND(AF$5&lt;=$H20,AF$5+6&gt;=$G20),"■",""))</x:f>
      </x:c>
      <x:c r="AG20" s="46" t="str">
        <x:f>IF(OR($G20="",$H20=""),"",IF(AND(AG$5&lt;=$H20,AG$5+6&gt;=$G20),"■",""))</x:f>
      </x:c>
      <x:c r="AH20" s="46" t="str">
        <x:f>IF(OR($G20="",$H20=""),"",IF(AND(AH$5&lt;=$H20,AH$5+6&gt;=$G20),"■",""))</x:f>
      </x:c>
      <x:c r="AI20" s="46" t="str">
        <x:f>IF(OR($G20="",$H20=""),"",IF(AND(AI$5&lt;=$H20,AI$5+6&gt;=$G20),"■",""))</x:f>
      </x:c>
      <x:c r="AJ20" s="46" t="str">
        <x:f>IF(OR($G20="",$H20=""),"",IF(AND(AJ$5&lt;=$H20,AJ$5+6&gt;=$G20),"■",""))</x:f>
      </x:c>
      <x:c r="AK20" s="46" t="str">
        <x:f>IF(OR($G20="",$H20=""),"",IF(AND(AK$5&lt;=$H20,AK$5+6&gt;=$G20),"■",""))</x:f>
      </x:c>
      <x:c r="AL20" s="46" t="str">
        <x:f>IF(OR($G20="",$H20=""),"",IF(AND(AL$5&lt;=$H20,AL$5+6&gt;=$G20),"■",""))</x:f>
      </x:c>
      <x:c r="AM20" s="46" t="str">
        <x:f>IF(OR($G20="",$H20=""),"",IF(AND(AM$5&lt;=$H20,AM$5+6&gt;=$G20),"■",""))</x:f>
      </x:c>
    </x:row>
    <x:row r="21" ht="28" customHeight="1">
      <x:c r="A21" s="26" t="str">
        <x:v>ARCH-R2-001</x:v>
      </x:c>
      <x:c r="B21" s="26" t="str">
        <x:v>Media Pipeline &amp; Asset Lifecycle</x:v>
      </x:c>
      <x:c r="C21" s="26" t="str">
        <x:v>Backlog</x:v>
      </x:c>
      <x:c r="D21" s="26" t="str">
        <x:v>Incomplete</x:v>
      </x:c>
      <x:c r="E21" s="26" t="str">
        <x:v>No</x:v>
      </x:c>
      <x:c r="F21" s="26" t="str">
        <x:v>R2</x:v>
      </x:c>
      <x:c r="G21" s="35" t="n">
        <x:v>46286</x:v>
      </x:c>
      <x:c r="H21" s="35" t="n">
        <x:v>46290</x:v>
      </x:c>
      <x:c r="I21" s="46" t="str">
        <x:f>IF(OR($G21="",$H21=""),"",IF(AND(I$5&lt;=$H21,I$5+6&gt;=$G21),"■",""))</x:f>
      </x:c>
      <x:c r="J21" s="46" t="str">
        <x:f>IF(OR($G21="",$H21=""),"",IF(AND(J$5&lt;=$H21,J$5+6&gt;=$G21),"■",""))</x:f>
      </x:c>
      <x:c r="K21" s="46" t="str">
        <x:f>IF(OR($G21="",$H21=""),"",IF(AND(K$5&lt;=$H21,K$5+6&gt;=$G21),"■",""))</x:f>
      </x:c>
      <x:c r="L21" s="46" t="str">
        <x:f>IF(OR($G21="",$H21=""),"",IF(AND(L$5&lt;=$H21,L$5+6&gt;=$G21),"■",""))</x:f>
      </x:c>
      <x:c r="M21" s="46" t="str">
        <x:f>IF(OR($G21="",$H21=""),"",IF(AND(M$5&lt;=$H21,M$5+6&gt;=$G21),"■",""))</x:f>
      </x:c>
      <x:c r="N21" s="46" t="str">
        <x:f>IF(OR($G21="",$H21=""),"",IF(AND(N$5&lt;=$H21,N$5+6&gt;=$G21),"■",""))</x:f>
        <x:v>■</x:v>
      </x:c>
      <x:c r="O21" s="46" t="str">
        <x:f>IF(OR($G21="",$H21=""),"",IF(AND(O$5&lt;=$H21,O$5+6&gt;=$G21),"■",""))</x:f>
      </x:c>
      <x:c r="P21" s="46" t="str">
        <x:f>IF(OR($G21="",$H21=""),"",IF(AND(P$5&lt;=$H21,P$5+6&gt;=$G21),"■",""))</x:f>
      </x:c>
      <x:c r="Q21" s="46" t="str">
        <x:f>IF(OR($G21="",$H21=""),"",IF(AND(Q$5&lt;=$H21,Q$5+6&gt;=$G21),"■",""))</x:f>
      </x:c>
      <x:c r="R21" s="46" t="str">
        <x:f>IF(OR($G21="",$H21=""),"",IF(AND(R$5&lt;=$H21,R$5+6&gt;=$G21),"■",""))</x:f>
      </x:c>
      <x:c r="S21" s="46" t="str">
        <x:f>IF(OR($G21="",$H21=""),"",IF(AND(S$5&lt;=$H21,S$5+6&gt;=$G21),"■",""))</x:f>
      </x:c>
      <x:c r="T21" s="46" t="str">
        <x:f>IF(OR($G21="",$H21=""),"",IF(AND(T$5&lt;=$H21,T$5+6&gt;=$G21),"■",""))</x:f>
      </x:c>
      <x:c r="U21" s="46" t="str">
        <x:f>IF(OR($G21="",$H21=""),"",IF(AND(U$5&lt;=$H21,U$5+6&gt;=$G21),"■",""))</x:f>
      </x:c>
      <x:c r="V21" s="46" t="str">
        <x:f>IF(OR($G21="",$H21=""),"",IF(AND(V$5&lt;=$H21,V$5+6&gt;=$G21),"■",""))</x:f>
      </x:c>
      <x:c r="W21" s="46" t="str">
        <x:f>IF(OR($G21="",$H21=""),"",IF(AND(W$5&lt;=$H21,W$5+6&gt;=$G21),"■",""))</x:f>
      </x:c>
      <x:c r="X21" s="46" t="str">
        <x:f>IF(OR($G21="",$H21=""),"",IF(AND(X$5&lt;=$H21,X$5+6&gt;=$G21),"■",""))</x:f>
      </x:c>
      <x:c r="Y21" s="46" t="str">
        <x:f>IF(OR($G21="",$H21=""),"",IF(AND(Y$5&lt;=$H21,Y$5+6&gt;=$G21),"■",""))</x:f>
      </x:c>
      <x:c r="Z21" s="46" t="str">
        <x:f>IF(OR($G21="",$H21=""),"",IF(AND(Z$5&lt;=$H21,Z$5+6&gt;=$G21),"■",""))</x:f>
      </x:c>
      <x:c r="AA21" s="46" t="str">
        <x:f>IF(OR($G21="",$H21=""),"",IF(AND(AA$5&lt;=$H21,AA$5+6&gt;=$G21),"■",""))</x:f>
      </x:c>
      <x:c r="AB21" s="46" t="str">
        <x:f>IF(OR($G21="",$H21=""),"",IF(AND(AB$5&lt;=$H21,AB$5+6&gt;=$G21),"■",""))</x:f>
      </x:c>
      <x:c r="AC21" s="46" t="str">
        <x:f>IF(OR($G21="",$H21=""),"",IF(AND(AC$5&lt;=$H21,AC$5+6&gt;=$G21),"■",""))</x:f>
      </x:c>
      <x:c r="AD21" s="46" t="str">
        <x:f>IF(OR($G21="",$H21=""),"",IF(AND(AD$5&lt;=$H21,AD$5+6&gt;=$G21),"■",""))</x:f>
      </x:c>
      <x:c r="AE21" s="46" t="str">
        <x:f>IF(OR($G21="",$H21=""),"",IF(AND(AE$5&lt;=$H21,AE$5+6&gt;=$G21),"■",""))</x:f>
      </x:c>
      <x:c r="AF21" s="46" t="str">
        <x:f>IF(OR($G21="",$H21=""),"",IF(AND(AF$5&lt;=$H21,AF$5+6&gt;=$G21),"■",""))</x:f>
      </x:c>
      <x:c r="AG21" s="46" t="str">
        <x:f>IF(OR($G21="",$H21=""),"",IF(AND(AG$5&lt;=$H21,AG$5+6&gt;=$G21),"■",""))</x:f>
      </x:c>
      <x:c r="AH21" s="46" t="str">
        <x:f>IF(OR($G21="",$H21=""),"",IF(AND(AH$5&lt;=$H21,AH$5+6&gt;=$G21),"■",""))</x:f>
      </x:c>
      <x:c r="AI21" s="46" t="str">
        <x:f>IF(OR($G21="",$H21=""),"",IF(AND(AI$5&lt;=$H21,AI$5+6&gt;=$G21),"■",""))</x:f>
      </x:c>
      <x:c r="AJ21" s="46" t="str">
        <x:f>IF(OR($G21="",$H21=""),"",IF(AND(AJ$5&lt;=$H21,AJ$5+6&gt;=$G21),"■",""))</x:f>
      </x:c>
      <x:c r="AK21" s="46" t="str">
        <x:f>IF(OR($G21="",$H21=""),"",IF(AND(AK$5&lt;=$H21,AK$5+6&gt;=$G21),"■",""))</x:f>
      </x:c>
      <x:c r="AL21" s="46" t="str">
        <x:f>IF(OR($G21="",$H21=""),"",IF(AND(AL$5&lt;=$H21,AL$5+6&gt;=$G21),"■",""))</x:f>
      </x:c>
      <x:c r="AM21" s="46" t="str">
        <x:f>IF(OR($G21="",$H21=""),"",IF(AND(AM$5&lt;=$H21,AM$5+6&gt;=$G21),"■",""))</x:f>
      </x:c>
    </x:row>
    <x:row r="22" ht="28" customHeight="1">
      <x:c r="A22" s="26" t="str">
        <x:v>ENG-R2-001</x:v>
      </x:c>
      <x:c r="B22" s="26" t="str">
        <x:v>Telegram Authorization &amp; Durable Capture</x:v>
      </x:c>
      <x:c r="C22" s="26" t="str">
        <x:v>Backlog</x:v>
      </x:c>
      <x:c r="D22" s="26" t="str">
        <x:v>Incomplete</x:v>
      </x:c>
      <x:c r="E22" s="26" t="str">
        <x:v>No</x:v>
      </x:c>
      <x:c r="F22" s="26" t="str">
        <x:v>R2</x:v>
      </x:c>
      <x:c r="G22" s="35" t="n">
        <x:v>46289</x:v>
      </x:c>
      <x:c r="H22" s="35" t="n">
        <x:v>46297</x:v>
      </x:c>
      <x:c r="I22" s="46" t="str">
        <x:f>IF(OR($G22="",$H22=""),"",IF(AND(I$5&lt;=$H22,I$5+6&gt;=$G22),"■",""))</x:f>
      </x:c>
      <x:c r="J22" s="46" t="str">
        <x:f>IF(OR($G22="",$H22=""),"",IF(AND(J$5&lt;=$H22,J$5+6&gt;=$G22),"■",""))</x:f>
      </x:c>
      <x:c r="K22" s="46" t="str">
        <x:f>IF(OR($G22="",$H22=""),"",IF(AND(K$5&lt;=$H22,K$5+6&gt;=$G22),"■",""))</x:f>
      </x:c>
      <x:c r="L22" s="46" t="str">
        <x:f>IF(OR($G22="",$H22=""),"",IF(AND(L$5&lt;=$H22,L$5+6&gt;=$G22),"■",""))</x:f>
      </x:c>
      <x:c r="M22" s="46" t="str">
        <x:f>IF(OR($G22="",$H22=""),"",IF(AND(M$5&lt;=$H22,M$5+6&gt;=$G22),"■",""))</x:f>
      </x:c>
      <x:c r="N22" s="46" t="str">
        <x:f>IF(OR($G22="",$H22=""),"",IF(AND(N$5&lt;=$H22,N$5+6&gt;=$G22),"■",""))</x:f>
        <x:v>■</x:v>
      </x:c>
      <x:c r="O22" s="46" t="str">
        <x:f>IF(OR($G22="",$H22=""),"",IF(AND(O$5&lt;=$H22,O$5+6&gt;=$G22),"■",""))</x:f>
        <x:v>■</x:v>
      </x:c>
      <x:c r="P22" s="46" t="str">
        <x:f>IF(OR($G22="",$H22=""),"",IF(AND(P$5&lt;=$H22,P$5+6&gt;=$G22),"■",""))</x:f>
      </x:c>
      <x:c r="Q22" s="46" t="str">
        <x:f>IF(OR($G22="",$H22=""),"",IF(AND(Q$5&lt;=$H22,Q$5+6&gt;=$G22),"■",""))</x:f>
      </x:c>
      <x:c r="R22" s="46" t="str">
        <x:f>IF(OR($G22="",$H22=""),"",IF(AND(R$5&lt;=$H22,R$5+6&gt;=$G22),"■",""))</x:f>
      </x:c>
      <x:c r="S22" s="46" t="str">
        <x:f>IF(OR($G22="",$H22=""),"",IF(AND(S$5&lt;=$H22,S$5+6&gt;=$G22),"■",""))</x:f>
      </x:c>
      <x:c r="T22" s="46" t="str">
        <x:f>IF(OR($G22="",$H22=""),"",IF(AND(T$5&lt;=$H22,T$5+6&gt;=$G22),"■",""))</x:f>
      </x:c>
      <x:c r="U22" s="46" t="str">
        <x:f>IF(OR($G22="",$H22=""),"",IF(AND(U$5&lt;=$H22,U$5+6&gt;=$G22),"■",""))</x:f>
      </x:c>
      <x:c r="V22" s="46" t="str">
        <x:f>IF(OR($G22="",$H22=""),"",IF(AND(V$5&lt;=$H22,V$5+6&gt;=$G22),"■",""))</x:f>
      </x:c>
      <x:c r="W22" s="46" t="str">
        <x:f>IF(OR($G22="",$H22=""),"",IF(AND(W$5&lt;=$H22,W$5+6&gt;=$G22),"■",""))</x:f>
      </x:c>
      <x:c r="X22" s="46" t="str">
        <x:f>IF(OR($G22="",$H22=""),"",IF(AND(X$5&lt;=$H22,X$5+6&gt;=$G22),"■",""))</x:f>
      </x:c>
      <x:c r="Y22" s="46" t="str">
        <x:f>IF(OR($G22="",$H22=""),"",IF(AND(Y$5&lt;=$H22,Y$5+6&gt;=$G22),"■",""))</x:f>
      </x:c>
      <x:c r="Z22" s="46" t="str">
        <x:f>IF(OR($G22="",$H22=""),"",IF(AND(Z$5&lt;=$H22,Z$5+6&gt;=$G22),"■",""))</x:f>
      </x:c>
      <x:c r="AA22" s="46" t="str">
        <x:f>IF(OR($G22="",$H22=""),"",IF(AND(AA$5&lt;=$H22,AA$5+6&gt;=$G22),"■",""))</x:f>
      </x:c>
      <x:c r="AB22" s="46" t="str">
        <x:f>IF(OR($G22="",$H22=""),"",IF(AND(AB$5&lt;=$H22,AB$5+6&gt;=$G22),"■",""))</x:f>
      </x:c>
      <x:c r="AC22" s="46" t="str">
        <x:f>IF(OR($G22="",$H22=""),"",IF(AND(AC$5&lt;=$H22,AC$5+6&gt;=$G22),"■",""))</x:f>
      </x:c>
      <x:c r="AD22" s="46" t="str">
        <x:f>IF(OR($G22="",$H22=""),"",IF(AND(AD$5&lt;=$H22,AD$5+6&gt;=$G22),"■",""))</x:f>
      </x:c>
      <x:c r="AE22" s="46" t="str">
        <x:f>IF(OR($G22="",$H22=""),"",IF(AND(AE$5&lt;=$H22,AE$5+6&gt;=$G22),"■",""))</x:f>
      </x:c>
      <x:c r="AF22" s="46" t="str">
        <x:f>IF(OR($G22="",$H22=""),"",IF(AND(AF$5&lt;=$H22,AF$5+6&gt;=$G22),"■",""))</x:f>
      </x:c>
      <x:c r="AG22" s="46" t="str">
        <x:f>IF(OR($G22="",$H22=""),"",IF(AND(AG$5&lt;=$H22,AG$5+6&gt;=$G22),"■",""))</x:f>
      </x:c>
      <x:c r="AH22" s="46" t="str">
        <x:f>IF(OR($G22="",$H22=""),"",IF(AND(AH$5&lt;=$H22,AH$5+6&gt;=$G22),"■",""))</x:f>
      </x:c>
      <x:c r="AI22" s="46" t="str">
        <x:f>IF(OR($G22="",$H22=""),"",IF(AND(AI$5&lt;=$H22,AI$5+6&gt;=$G22),"■",""))</x:f>
      </x:c>
      <x:c r="AJ22" s="46" t="str">
        <x:f>IF(OR($G22="",$H22=""),"",IF(AND(AJ$5&lt;=$H22,AJ$5+6&gt;=$G22),"■",""))</x:f>
      </x:c>
      <x:c r="AK22" s="46" t="str">
        <x:f>IF(OR($G22="",$H22=""),"",IF(AND(AK$5&lt;=$H22,AK$5+6&gt;=$G22),"■",""))</x:f>
      </x:c>
      <x:c r="AL22" s="46" t="str">
        <x:f>IF(OR($G22="",$H22=""),"",IF(AND(AL$5&lt;=$H22,AL$5+6&gt;=$G22),"■",""))</x:f>
      </x:c>
      <x:c r="AM22" s="46" t="str">
        <x:f>IF(OR($G22="",$H22=""),"",IF(AND(AM$5&lt;=$H22,AM$5+6&gt;=$G22),"■",""))</x:f>
      </x:c>
    </x:row>
    <x:row r="23" ht="28" customHeight="1">
      <x:c r="A23" s="26" t="str">
        <x:v>ENG-R2-002</x:v>
      </x:c>
      <x:c r="B23" s="26" t="str">
        <x:v>Gallery/Cover/Dedup/Derivatives</x:v>
      </x:c>
      <x:c r="C23" s="26" t="str">
        <x:v>Backlog</x:v>
      </x:c>
      <x:c r="D23" s="26" t="str">
        <x:v>Incomplete</x:v>
      </x:c>
      <x:c r="E23" s="26" t="str">
        <x:v>No</x:v>
      </x:c>
      <x:c r="F23" s="26" t="str">
        <x:v>R2</x:v>
      </x:c>
      <x:c r="G23" s="35" t="n">
        <x:v>46293</x:v>
      </x:c>
      <x:c r="H23" s="35" t="n">
        <x:v>46301</x:v>
      </x:c>
      <x:c r="I23" s="46" t="str">
        <x:f>IF(OR($G23="",$H23=""),"",IF(AND(I$5&lt;=$H23,I$5+6&gt;=$G23),"■",""))</x:f>
      </x:c>
      <x:c r="J23" s="46" t="str">
        <x:f>IF(OR($G23="",$H23=""),"",IF(AND(J$5&lt;=$H23,J$5+6&gt;=$G23),"■",""))</x:f>
      </x:c>
      <x:c r="K23" s="46" t="str">
        <x:f>IF(OR($G23="",$H23=""),"",IF(AND(K$5&lt;=$H23,K$5+6&gt;=$G23),"■",""))</x:f>
      </x:c>
      <x:c r="L23" s="46" t="str">
        <x:f>IF(OR($G23="",$H23=""),"",IF(AND(L$5&lt;=$H23,L$5+6&gt;=$G23),"■",""))</x:f>
      </x:c>
      <x:c r="M23" s="46" t="str">
        <x:f>IF(OR($G23="",$H23=""),"",IF(AND(M$5&lt;=$H23,M$5+6&gt;=$G23),"■",""))</x:f>
      </x:c>
      <x:c r="N23" s="46" t="str">
        <x:f>IF(OR($G23="",$H23=""),"",IF(AND(N$5&lt;=$H23,N$5+6&gt;=$G23),"■",""))</x:f>
      </x:c>
      <x:c r="O23" s="46" t="str">
        <x:f>IF(OR($G23="",$H23=""),"",IF(AND(O$5&lt;=$H23,O$5+6&gt;=$G23),"■",""))</x:f>
        <x:v>■</x:v>
      </x:c>
      <x:c r="P23" s="46" t="str">
        <x:f>IF(OR($G23="",$H23=""),"",IF(AND(P$5&lt;=$H23,P$5+6&gt;=$G23),"■",""))</x:f>
        <x:v>■</x:v>
      </x:c>
      <x:c r="Q23" s="46" t="str">
        <x:f>IF(OR($G23="",$H23=""),"",IF(AND(Q$5&lt;=$H23,Q$5+6&gt;=$G23),"■",""))</x:f>
      </x:c>
      <x:c r="R23" s="46" t="str">
        <x:f>IF(OR($G23="",$H23=""),"",IF(AND(R$5&lt;=$H23,R$5+6&gt;=$G23),"■",""))</x:f>
      </x:c>
      <x:c r="S23" s="46" t="str">
        <x:f>IF(OR($G23="",$H23=""),"",IF(AND(S$5&lt;=$H23,S$5+6&gt;=$G23),"■",""))</x:f>
      </x:c>
      <x:c r="T23" s="46" t="str">
        <x:f>IF(OR($G23="",$H23=""),"",IF(AND(T$5&lt;=$H23,T$5+6&gt;=$G23),"■",""))</x:f>
      </x:c>
      <x:c r="U23" s="46" t="str">
        <x:f>IF(OR($G23="",$H23=""),"",IF(AND(U$5&lt;=$H23,U$5+6&gt;=$G23),"■",""))</x:f>
      </x:c>
      <x:c r="V23" s="46" t="str">
        <x:f>IF(OR($G23="",$H23=""),"",IF(AND(V$5&lt;=$H23,V$5+6&gt;=$G23),"■",""))</x:f>
      </x:c>
      <x:c r="W23" s="46" t="str">
        <x:f>IF(OR($G23="",$H23=""),"",IF(AND(W$5&lt;=$H23,W$5+6&gt;=$G23),"■",""))</x:f>
      </x:c>
      <x:c r="X23" s="46" t="str">
        <x:f>IF(OR($G23="",$H23=""),"",IF(AND(X$5&lt;=$H23,X$5+6&gt;=$G23),"■",""))</x:f>
      </x:c>
      <x:c r="Y23" s="46" t="str">
        <x:f>IF(OR($G23="",$H23=""),"",IF(AND(Y$5&lt;=$H23,Y$5+6&gt;=$G23),"■",""))</x:f>
      </x:c>
      <x:c r="Z23" s="46" t="str">
        <x:f>IF(OR($G23="",$H23=""),"",IF(AND(Z$5&lt;=$H23,Z$5+6&gt;=$G23),"■",""))</x:f>
      </x:c>
      <x:c r="AA23" s="46" t="str">
        <x:f>IF(OR($G23="",$H23=""),"",IF(AND(AA$5&lt;=$H23,AA$5+6&gt;=$G23),"■",""))</x:f>
      </x:c>
      <x:c r="AB23" s="46" t="str">
        <x:f>IF(OR($G23="",$H23=""),"",IF(AND(AB$5&lt;=$H23,AB$5+6&gt;=$G23),"■",""))</x:f>
      </x:c>
      <x:c r="AC23" s="46" t="str">
        <x:f>IF(OR($G23="",$H23=""),"",IF(AND(AC$5&lt;=$H23,AC$5+6&gt;=$G23),"■",""))</x:f>
      </x:c>
      <x:c r="AD23" s="46" t="str">
        <x:f>IF(OR($G23="",$H23=""),"",IF(AND(AD$5&lt;=$H23,AD$5+6&gt;=$G23),"■",""))</x:f>
      </x:c>
      <x:c r="AE23" s="46" t="str">
        <x:f>IF(OR($G23="",$H23=""),"",IF(AND(AE$5&lt;=$H23,AE$5+6&gt;=$G23),"■",""))</x:f>
      </x:c>
      <x:c r="AF23" s="46" t="str">
        <x:f>IF(OR($G23="",$H23=""),"",IF(AND(AF$5&lt;=$H23,AF$5+6&gt;=$G23),"■",""))</x:f>
      </x:c>
      <x:c r="AG23" s="46" t="str">
        <x:f>IF(OR($G23="",$H23=""),"",IF(AND(AG$5&lt;=$H23,AG$5+6&gt;=$G23),"■",""))</x:f>
      </x:c>
      <x:c r="AH23" s="46" t="str">
        <x:f>IF(OR($G23="",$H23=""),"",IF(AND(AH$5&lt;=$H23,AH$5+6&gt;=$G23),"■",""))</x:f>
      </x:c>
      <x:c r="AI23" s="46" t="str">
        <x:f>IF(OR($G23="",$H23=""),"",IF(AND(AI$5&lt;=$H23,AI$5+6&gt;=$G23),"■",""))</x:f>
      </x:c>
      <x:c r="AJ23" s="46" t="str">
        <x:f>IF(OR($G23="",$H23=""),"",IF(AND(AJ$5&lt;=$H23,AJ$5+6&gt;=$G23),"■",""))</x:f>
      </x:c>
      <x:c r="AK23" s="46" t="str">
        <x:f>IF(OR($G23="",$H23=""),"",IF(AND(AK$5&lt;=$H23,AK$5+6&gt;=$G23),"■",""))</x:f>
      </x:c>
      <x:c r="AL23" s="46" t="str">
        <x:f>IF(OR($G23="",$H23=""),"",IF(AND(AL$5&lt;=$H23,AL$5+6&gt;=$G23),"■",""))</x:f>
      </x:c>
      <x:c r="AM23" s="46" t="str">
        <x:f>IF(OR($G23="",$H23=""),"",IF(AND(AM$5&lt;=$H23,AM$5+6&gt;=$G23),"■",""))</x:f>
      </x:c>
    </x:row>
    <x:row r="24" ht="28" customHeight="1">
      <x:c r="A24" s="26" t="str">
        <x:v>REL-R2-001</x:v>
      </x:c>
      <x:c r="B24" s="26" t="str">
        <x:v>Media Privacy/Restore Acceptance</x:v>
      </x:c>
      <x:c r="C24" s="26" t="str">
        <x:v>Backlog</x:v>
      </x:c>
      <x:c r="D24" s="26" t="str">
        <x:v>Incomplete</x:v>
      </x:c>
      <x:c r="E24" s="26" t="str">
        <x:v>No</x:v>
      </x:c>
      <x:c r="F24" s="26" t="str">
        <x:v>R2</x:v>
      </x:c>
      <x:c r="G24" s="35" t="n">
        <x:v>46302</x:v>
      </x:c>
      <x:c r="H24" s="35" t="n">
        <x:v>46304</x:v>
      </x:c>
      <x:c r="I24" s="46" t="str">
        <x:f>IF(OR($G24="",$H24=""),"",IF(AND(I$5&lt;=$H24,I$5+6&gt;=$G24),"■",""))</x:f>
      </x:c>
      <x:c r="J24" s="46" t="str">
        <x:f>IF(OR($G24="",$H24=""),"",IF(AND(J$5&lt;=$H24,J$5+6&gt;=$G24),"■",""))</x:f>
      </x:c>
      <x:c r="K24" s="46" t="str">
        <x:f>IF(OR($G24="",$H24=""),"",IF(AND(K$5&lt;=$H24,K$5+6&gt;=$G24),"■",""))</x:f>
      </x:c>
      <x:c r="L24" s="46" t="str">
        <x:f>IF(OR($G24="",$H24=""),"",IF(AND(L$5&lt;=$H24,L$5+6&gt;=$G24),"■",""))</x:f>
      </x:c>
      <x:c r="M24" s="46" t="str">
        <x:f>IF(OR($G24="",$H24=""),"",IF(AND(M$5&lt;=$H24,M$5+6&gt;=$G24),"■",""))</x:f>
      </x:c>
      <x:c r="N24" s="46" t="str">
        <x:f>IF(OR($G24="",$H24=""),"",IF(AND(N$5&lt;=$H24,N$5+6&gt;=$G24),"■",""))</x:f>
      </x:c>
      <x:c r="O24" s="46" t="str">
        <x:f>IF(OR($G24="",$H24=""),"",IF(AND(O$5&lt;=$H24,O$5+6&gt;=$G24),"■",""))</x:f>
      </x:c>
      <x:c r="P24" s="46" t="str">
        <x:f>IF(OR($G24="",$H24=""),"",IF(AND(P$5&lt;=$H24,P$5+6&gt;=$G24),"■",""))</x:f>
        <x:v>■</x:v>
      </x:c>
      <x:c r="Q24" s="46" t="str">
        <x:f>IF(OR($G24="",$H24=""),"",IF(AND(Q$5&lt;=$H24,Q$5+6&gt;=$G24),"■",""))</x:f>
      </x:c>
      <x:c r="R24" s="46" t="str">
        <x:f>IF(OR($G24="",$H24=""),"",IF(AND(R$5&lt;=$H24,R$5+6&gt;=$G24),"■",""))</x:f>
      </x:c>
      <x:c r="S24" s="46" t="str">
        <x:f>IF(OR($G24="",$H24=""),"",IF(AND(S$5&lt;=$H24,S$5+6&gt;=$G24),"■",""))</x:f>
      </x:c>
      <x:c r="T24" s="46" t="str">
        <x:f>IF(OR($G24="",$H24=""),"",IF(AND(T$5&lt;=$H24,T$5+6&gt;=$G24),"■",""))</x:f>
      </x:c>
      <x:c r="U24" s="46" t="str">
        <x:f>IF(OR($G24="",$H24=""),"",IF(AND(U$5&lt;=$H24,U$5+6&gt;=$G24),"■",""))</x:f>
      </x:c>
      <x:c r="V24" s="46" t="str">
        <x:f>IF(OR($G24="",$H24=""),"",IF(AND(V$5&lt;=$H24,V$5+6&gt;=$G24),"■",""))</x:f>
      </x:c>
      <x:c r="W24" s="46" t="str">
        <x:f>IF(OR($G24="",$H24=""),"",IF(AND(W$5&lt;=$H24,W$5+6&gt;=$G24),"■",""))</x:f>
      </x:c>
      <x:c r="X24" s="46" t="str">
        <x:f>IF(OR($G24="",$H24=""),"",IF(AND(X$5&lt;=$H24,X$5+6&gt;=$G24),"■",""))</x:f>
      </x:c>
      <x:c r="Y24" s="46" t="str">
        <x:f>IF(OR($G24="",$H24=""),"",IF(AND(Y$5&lt;=$H24,Y$5+6&gt;=$G24),"■",""))</x:f>
      </x:c>
      <x:c r="Z24" s="46" t="str">
        <x:f>IF(OR($G24="",$H24=""),"",IF(AND(Z$5&lt;=$H24,Z$5+6&gt;=$G24),"■",""))</x:f>
      </x:c>
      <x:c r="AA24" s="46" t="str">
        <x:f>IF(OR($G24="",$H24=""),"",IF(AND(AA$5&lt;=$H24,AA$5+6&gt;=$G24),"■",""))</x:f>
      </x:c>
      <x:c r="AB24" s="46" t="str">
        <x:f>IF(OR($G24="",$H24=""),"",IF(AND(AB$5&lt;=$H24,AB$5+6&gt;=$G24),"■",""))</x:f>
      </x:c>
      <x:c r="AC24" s="46" t="str">
        <x:f>IF(OR($G24="",$H24=""),"",IF(AND(AC$5&lt;=$H24,AC$5+6&gt;=$G24),"■",""))</x:f>
      </x:c>
      <x:c r="AD24" s="46" t="str">
        <x:f>IF(OR($G24="",$H24=""),"",IF(AND(AD$5&lt;=$H24,AD$5+6&gt;=$G24),"■",""))</x:f>
      </x:c>
      <x:c r="AE24" s="46" t="str">
        <x:f>IF(OR($G24="",$H24=""),"",IF(AND(AE$5&lt;=$H24,AE$5+6&gt;=$G24),"■",""))</x:f>
      </x:c>
      <x:c r="AF24" s="46" t="str">
        <x:f>IF(OR($G24="",$H24=""),"",IF(AND(AF$5&lt;=$H24,AF$5+6&gt;=$G24),"■",""))</x:f>
      </x:c>
      <x:c r="AG24" s="46" t="str">
        <x:f>IF(OR($G24="",$H24=""),"",IF(AND(AG$5&lt;=$H24,AG$5+6&gt;=$G24),"■",""))</x:f>
      </x:c>
      <x:c r="AH24" s="46" t="str">
        <x:f>IF(OR($G24="",$H24=""),"",IF(AND(AH$5&lt;=$H24,AH$5+6&gt;=$G24),"■",""))</x:f>
      </x:c>
      <x:c r="AI24" s="46" t="str">
        <x:f>IF(OR($G24="",$H24=""),"",IF(AND(AI$5&lt;=$H24,AI$5+6&gt;=$G24),"■",""))</x:f>
      </x:c>
      <x:c r="AJ24" s="46" t="str">
        <x:f>IF(OR($G24="",$H24=""),"",IF(AND(AJ$5&lt;=$H24,AJ$5+6&gt;=$G24),"■",""))</x:f>
      </x:c>
      <x:c r="AK24" s="46" t="str">
        <x:f>IF(OR($G24="",$H24=""),"",IF(AND(AK$5&lt;=$H24,AK$5+6&gt;=$G24),"■",""))</x:f>
      </x:c>
      <x:c r="AL24" s="46" t="str">
        <x:f>IF(OR($G24="",$H24=""),"",IF(AND(AL$5&lt;=$H24,AL$5+6&gt;=$G24),"■",""))</x:f>
      </x:c>
      <x:c r="AM24" s="46" t="str">
        <x:f>IF(OR($G24="",$H24=""),"",IF(AND(AM$5&lt;=$H24,AM$5+6&gt;=$G24),"■",""))</x:f>
      </x:c>
    </x:row>
    <x:row r="25" ht="28" customHeight="1">
      <x:c r="A25" s="26" t="str">
        <x:v>PRD-R3-001</x:v>
      </x:c>
      <x:c r="B25" s="26" t="str">
        <x:v>Retrieval &amp; Date Integrity PRD</x:v>
      </x:c>
      <x:c r="C25" s="26" t="str">
        <x:v>Done</x:v>
      </x:c>
      <x:c r="D25" s="26" t="str">
        <x:v>Incomplete</x:v>
      </x:c>
      <x:c r="E25" s="26" t="str">
        <x:v>No</x:v>
      </x:c>
      <x:c r="F25" s="26" t="str">
        <x:v>R3</x:v>
      </x:c>
      <x:c r="G25" s="35" t="n">
        <x:v>46307</x:v>
      </x:c>
      <x:c r="H25" s="35" t="n">
        <x:v>46309</x:v>
      </x:c>
      <x:c r="I25" s="46" t="str">
        <x:f>IF(OR($G25="",$H25=""),"",IF(AND(I$5&lt;=$H25,I$5+6&gt;=$G25),"■",""))</x:f>
      </x:c>
      <x:c r="J25" s="46" t="str">
        <x:f>IF(OR($G25="",$H25=""),"",IF(AND(J$5&lt;=$H25,J$5+6&gt;=$G25),"■",""))</x:f>
      </x:c>
      <x:c r="K25" s="46" t="str">
        <x:f>IF(OR($G25="",$H25=""),"",IF(AND(K$5&lt;=$H25,K$5+6&gt;=$G25),"■",""))</x:f>
      </x:c>
      <x:c r="L25" s="46" t="str">
        <x:f>IF(OR($G25="",$H25=""),"",IF(AND(L$5&lt;=$H25,L$5+6&gt;=$G25),"■",""))</x:f>
      </x:c>
      <x:c r="M25" s="46" t="str">
        <x:f>IF(OR($G25="",$H25=""),"",IF(AND(M$5&lt;=$H25,M$5+6&gt;=$G25),"■",""))</x:f>
      </x:c>
      <x:c r="N25" s="46" t="str">
        <x:f>IF(OR($G25="",$H25=""),"",IF(AND(N$5&lt;=$H25,N$5+6&gt;=$G25),"■",""))</x:f>
      </x:c>
      <x:c r="O25" s="46" t="str">
        <x:f>IF(OR($G25="",$H25=""),"",IF(AND(O$5&lt;=$H25,O$5+6&gt;=$G25),"■",""))</x:f>
      </x:c>
      <x:c r="P25" s="46" t="str">
        <x:f>IF(OR($G25="",$H25=""),"",IF(AND(P$5&lt;=$H25,P$5+6&gt;=$G25),"■",""))</x:f>
      </x:c>
      <x:c r="Q25" s="46" t="str">
        <x:f>IF(OR($G25="",$H25=""),"",IF(AND(Q$5&lt;=$H25,Q$5+6&gt;=$G25),"■",""))</x:f>
        <x:v>■</x:v>
      </x:c>
      <x:c r="R25" s="46" t="str">
        <x:f>IF(OR($G25="",$H25=""),"",IF(AND(R$5&lt;=$H25,R$5+6&gt;=$G25),"■",""))</x:f>
      </x:c>
      <x:c r="S25" s="46" t="str">
        <x:f>IF(OR($G25="",$H25=""),"",IF(AND(S$5&lt;=$H25,S$5+6&gt;=$G25),"■",""))</x:f>
      </x:c>
      <x:c r="T25" s="46" t="str">
        <x:f>IF(OR($G25="",$H25=""),"",IF(AND(T$5&lt;=$H25,T$5+6&gt;=$G25),"■",""))</x:f>
      </x:c>
      <x:c r="U25" s="46" t="str">
        <x:f>IF(OR($G25="",$H25=""),"",IF(AND(U$5&lt;=$H25,U$5+6&gt;=$G25),"■",""))</x:f>
      </x:c>
      <x:c r="V25" s="46" t="str">
        <x:f>IF(OR($G25="",$H25=""),"",IF(AND(V$5&lt;=$H25,V$5+6&gt;=$G25),"■",""))</x:f>
      </x:c>
      <x:c r="W25" s="46" t="str">
        <x:f>IF(OR($G25="",$H25=""),"",IF(AND(W$5&lt;=$H25,W$5+6&gt;=$G25),"■",""))</x:f>
      </x:c>
      <x:c r="X25" s="46" t="str">
        <x:f>IF(OR($G25="",$H25=""),"",IF(AND(X$5&lt;=$H25,X$5+6&gt;=$G25),"■",""))</x:f>
      </x:c>
      <x:c r="Y25" s="46" t="str">
        <x:f>IF(OR($G25="",$H25=""),"",IF(AND(Y$5&lt;=$H25,Y$5+6&gt;=$G25),"■",""))</x:f>
      </x:c>
      <x:c r="Z25" s="46" t="str">
        <x:f>IF(OR($G25="",$H25=""),"",IF(AND(Z$5&lt;=$H25,Z$5+6&gt;=$G25),"■",""))</x:f>
      </x:c>
      <x:c r="AA25" s="46" t="str">
        <x:f>IF(OR($G25="",$H25=""),"",IF(AND(AA$5&lt;=$H25,AA$5+6&gt;=$G25),"■",""))</x:f>
      </x:c>
      <x:c r="AB25" s="46" t="str">
        <x:f>IF(OR($G25="",$H25=""),"",IF(AND(AB$5&lt;=$H25,AB$5+6&gt;=$G25),"■",""))</x:f>
      </x:c>
      <x:c r="AC25" s="46" t="str">
        <x:f>IF(OR($G25="",$H25=""),"",IF(AND(AC$5&lt;=$H25,AC$5+6&gt;=$G25),"■",""))</x:f>
      </x:c>
      <x:c r="AD25" s="46" t="str">
        <x:f>IF(OR($G25="",$H25=""),"",IF(AND(AD$5&lt;=$H25,AD$5+6&gt;=$G25),"■",""))</x:f>
      </x:c>
      <x:c r="AE25" s="46" t="str">
        <x:f>IF(OR($G25="",$H25=""),"",IF(AND(AE$5&lt;=$H25,AE$5+6&gt;=$G25),"■",""))</x:f>
      </x:c>
      <x:c r="AF25" s="46" t="str">
        <x:f>IF(OR($G25="",$H25=""),"",IF(AND(AF$5&lt;=$H25,AF$5+6&gt;=$G25),"■",""))</x:f>
      </x:c>
      <x:c r="AG25" s="46" t="str">
        <x:f>IF(OR($G25="",$H25=""),"",IF(AND(AG$5&lt;=$H25,AG$5+6&gt;=$G25),"■",""))</x:f>
      </x:c>
      <x:c r="AH25" s="46" t="str">
        <x:f>IF(OR($G25="",$H25=""),"",IF(AND(AH$5&lt;=$H25,AH$5+6&gt;=$G25),"■",""))</x:f>
      </x:c>
      <x:c r="AI25" s="46" t="str">
        <x:f>IF(OR($G25="",$H25=""),"",IF(AND(AI$5&lt;=$H25,AI$5+6&gt;=$G25),"■",""))</x:f>
      </x:c>
      <x:c r="AJ25" s="46" t="str">
        <x:f>IF(OR($G25="",$H25=""),"",IF(AND(AJ$5&lt;=$H25,AJ$5+6&gt;=$G25),"■",""))</x:f>
      </x:c>
      <x:c r="AK25" s="46" t="str">
        <x:f>IF(OR($G25="",$H25=""),"",IF(AND(AK$5&lt;=$H25,AK$5+6&gt;=$G25),"■",""))</x:f>
      </x:c>
      <x:c r="AL25" s="46" t="str">
        <x:f>IF(OR($G25="",$H25=""),"",IF(AND(AL$5&lt;=$H25,AL$5+6&gt;=$G25),"■",""))</x:f>
      </x:c>
      <x:c r="AM25" s="46" t="str">
        <x:f>IF(OR($G25="",$H25=""),"",IF(AND(AM$5&lt;=$H25,AM$5+6&gt;=$G25),"■",""))</x:f>
      </x:c>
    </x:row>
    <x:row r="26" ht="28" customHeight="1">
      <x:c r="A26" s="26" t="str">
        <x:v>UX-R3-001</x:v>
      </x:c>
      <x:c r="B26" s="26" t="str">
        <x:v>Almanac/Search/Date Review Designs</x:v>
      </x:c>
      <x:c r="C26" s="26" t="str">
        <x:v>Backlog</x:v>
      </x:c>
      <x:c r="D26" s="26" t="str">
        <x:v>Incomplete</x:v>
      </x:c>
      <x:c r="E26" s="26" t="str">
        <x:v>No</x:v>
      </x:c>
      <x:c r="F26" s="26" t="str">
        <x:v>R3</x:v>
      </x:c>
      <x:c r="G26" s="35" t="n">
        <x:v>46307</x:v>
      </x:c>
      <x:c r="H26" s="35" t="n">
        <x:v>46311</x:v>
      </x:c>
      <x:c r="I26" s="46" t="str">
        <x:f>IF(OR($G26="",$H26=""),"",IF(AND(I$5&lt;=$H26,I$5+6&gt;=$G26),"■",""))</x:f>
      </x:c>
      <x:c r="J26" s="46" t="str">
        <x:f>IF(OR($G26="",$H26=""),"",IF(AND(J$5&lt;=$H26,J$5+6&gt;=$G26),"■",""))</x:f>
      </x:c>
      <x:c r="K26" s="46" t="str">
        <x:f>IF(OR($G26="",$H26=""),"",IF(AND(K$5&lt;=$H26,K$5+6&gt;=$G26),"■",""))</x:f>
      </x:c>
      <x:c r="L26" s="46" t="str">
        <x:f>IF(OR($G26="",$H26=""),"",IF(AND(L$5&lt;=$H26,L$5+6&gt;=$G26),"■",""))</x:f>
      </x:c>
      <x:c r="M26" s="46" t="str">
        <x:f>IF(OR($G26="",$H26=""),"",IF(AND(M$5&lt;=$H26,M$5+6&gt;=$G26),"■",""))</x:f>
      </x:c>
      <x:c r="N26" s="46" t="str">
        <x:f>IF(OR($G26="",$H26=""),"",IF(AND(N$5&lt;=$H26,N$5+6&gt;=$G26),"■",""))</x:f>
      </x:c>
      <x:c r="O26" s="46" t="str">
        <x:f>IF(OR($G26="",$H26=""),"",IF(AND(O$5&lt;=$H26,O$5+6&gt;=$G26),"■",""))</x:f>
      </x:c>
      <x:c r="P26" s="46" t="str">
        <x:f>IF(OR($G26="",$H26=""),"",IF(AND(P$5&lt;=$H26,P$5+6&gt;=$G26),"■",""))</x:f>
      </x:c>
      <x:c r="Q26" s="46" t="str">
        <x:f>IF(OR($G26="",$H26=""),"",IF(AND(Q$5&lt;=$H26,Q$5+6&gt;=$G26),"■",""))</x:f>
        <x:v>■</x:v>
      </x:c>
      <x:c r="R26" s="46" t="str">
        <x:f>IF(OR($G26="",$H26=""),"",IF(AND(R$5&lt;=$H26,R$5+6&gt;=$G26),"■",""))</x:f>
      </x:c>
      <x:c r="S26" s="46" t="str">
        <x:f>IF(OR($G26="",$H26=""),"",IF(AND(S$5&lt;=$H26,S$5+6&gt;=$G26),"■",""))</x:f>
      </x:c>
      <x:c r="T26" s="46" t="str">
        <x:f>IF(OR($G26="",$H26=""),"",IF(AND(T$5&lt;=$H26,T$5+6&gt;=$G26),"■",""))</x:f>
      </x:c>
      <x:c r="U26" s="46" t="str">
        <x:f>IF(OR($G26="",$H26=""),"",IF(AND(U$5&lt;=$H26,U$5+6&gt;=$G26),"■",""))</x:f>
      </x:c>
      <x:c r="V26" s="46" t="str">
        <x:f>IF(OR($G26="",$H26=""),"",IF(AND(V$5&lt;=$H26,V$5+6&gt;=$G26),"■",""))</x:f>
      </x:c>
      <x:c r="W26" s="46" t="str">
        <x:f>IF(OR($G26="",$H26=""),"",IF(AND(W$5&lt;=$H26,W$5+6&gt;=$G26),"■",""))</x:f>
      </x:c>
      <x:c r="X26" s="46" t="str">
        <x:f>IF(OR($G26="",$H26=""),"",IF(AND(X$5&lt;=$H26,X$5+6&gt;=$G26),"■",""))</x:f>
      </x:c>
      <x:c r="Y26" s="46" t="str">
        <x:f>IF(OR($G26="",$H26=""),"",IF(AND(Y$5&lt;=$H26,Y$5+6&gt;=$G26),"■",""))</x:f>
      </x:c>
      <x:c r="Z26" s="46" t="str">
        <x:f>IF(OR($G26="",$H26=""),"",IF(AND(Z$5&lt;=$H26,Z$5+6&gt;=$G26),"■",""))</x:f>
      </x:c>
      <x:c r="AA26" s="46" t="str">
        <x:f>IF(OR($G26="",$H26=""),"",IF(AND(AA$5&lt;=$H26,AA$5+6&gt;=$G26),"■",""))</x:f>
      </x:c>
      <x:c r="AB26" s="46" t="str">
        <x:f>IF(OR($G26="",$H26=""),"",IF(AND(AB$5&lt;=$H26,AB$5+6&gt;=$G26),"■",""))</x:f>
      </x:c>
      <x:c r="AC26" s="46" t="str">
        <x:f>IF(OR($G26="",$H26=""),"",IF(AND(AC$5&lt;=$H26,AC$5+6&gt;=$G26),"■",""))</x:f>
      </x:c>
      <x:c r="AD26" s="46" t="str">
        <x:f>IF(OR($G26="",$H26=""),"",IF(AND(AD$5&lt;=$H26,AD$5+6&gt;=$G26),"■",""))</x:f>
      </x:c>
      <x:c r="AE26" s="46" t="str">
        <x:f>IF(OR($G26="",$H26=""),"",IF(AND(AE$5&lt;=$H26,AE$5+6&gt;=$G26),"■",""))</x:f>
      </x:c>
      <x:c r="AF26" s="46" t="str">
        <x:f>IF(OR($G26="",$H26=""),"",IF(AND(AF$5&lt;=$H26,AF$5+6&gt;=$G26),"■",""))</x:f>
      </x:c>
      <x:c r="AG26" s="46" t="str">
        <x:f>IF(OR($G26="",$H26=""),"",IF(AND(AG$5&lt;=$H26,AG$5+6&gt;=$G26),"■",""))</x:f>
      </x:c>
      <x:c r="AH26" s="46" t="str">
        <x:f>IF(OR($G26="",$H26=""),"",IF(AND(AH$5&lt;=$H26,AH$5+6&gt;=$G26),"■",""))</x:f>
      </x:c>
      <x:c r="AI26" s="46" t="str">
        <x:f>IF(OR($G26="",$H26=""),"",IF(AND(AI$5&lt;=$H26,AI$5+6&gt;=$G26),"■",""))</x:f>
      </x:c>
      <x:c r="AJ26" s="46" t="str">
        <x:f>IF(OR($G26="",$H26=""),"",IF(AND(AJ$5&lt;=$H26,AJ$5+6&gt;=$G26),"■",""))</x:f>
      </x:c>
      <x:c r="AK26" s="46" t="str">
        <x:f>IF(OR($G26="",$H26=""),"",IF(AND(AK$5&lt;=$H26,AK$5+6&gt;=$G26),"■",""))</x:f>
      </x:c>
      <x:c r="AL26" s="46" t="str">
        <x:f>IF(OR($G26="",$H26=""),"",IF(AND(AL$5&lt;=$H26,AL$5+6&gt;=$G26),"■",""))</x:f>
      </x:c>
      <x:c r="AM26" s="46" t="str">
        <x:f>IF(OR($G26="",$H26=""),"",IF(AND(AM$5&lt;=$H26,AM$5+6&gt;=$G26),"■",""))</x:f>
      </x:c>
    </x:row>
    <x:row r="27" ht="28" customHeight="1">
      <x:c r="A27" s="26" t="str">
        <x:v>ARCH-R3-001</x:v>
      </x:c>
      <x:c r="B27" s="26" t="str">
        <x:v>Search Index &amp; Redating Transaction</x:v>
      </x:c>
      <x:c r="C27" s="26" t="str">
        <x:v>Backlog</x:v>
      </x:c>
      <x:c r="D27" s="26" t="str">
        <x:v>Incomplete</x:v>
      </x:c>
      <x:c r="E27" s="26" t="str">
        <x:v>No</x:v>
      </x:c>
      <x:c r="F27" s="26" t="str">
        <x:v>R3</x:v>
      </x:c>
      <x:c r="G27" s="35" t="n">
        <x:v>46307</x:v>
      </x:c>
      <x:c r="H27" s="35" t="n">
        <x:v>46311</x:v>
      </x:c>
      <x:c r="I27" s="46" t="str">
        <x:f>IF(OR($G27="",$H27=""),"",IF(AND(I$5&lt;=$H27,I$5+6&gt;=$G27),"■",""))</x:f>
      </x:c>
      <x:c r="J27" s="46" t="str">
        <x:f>IF(OR($G27="",$H27=""),"",IF(AND(J$5&lt;=$H27,J$5+6&gt;=$G27),"■",""))</x:f>
      </x:c>
      <x:c r="K27" s="46" t="str">
        <x:f>IF(OR($G27="",$H27=""),"",IF(AND(K$5&lt;=$H27,K$5+6&gt;=$G27),"■",""))</x:f>
      </x:c>
      <x:c r="L27" s="46" t="str">
        <x:f>IF(OR($G27="",$H27=""),"",IF(AND(L$5&lt;=$H27,L$5+6&gt;=$G27),"■",""))</x:f>
      </x:c>
      <x:c r="M27" s="46" t="str">
        <x:f>IF(OR($G27="",$H27=""),"",IF(AND(M$5&lt;=$H27,M$5+6&gt;=$G27),"■",""))</x:f>
      </x:c>
      <x:c r="N27" s="46" t="str">
        <x:f>IF(OR($G27="",$H27=""),"",IF(AND(N$5&lt;=$H27,N$5+6&gt;=$G27),"■",""))</x:f>
      </x:c>
      <x:c r="O27" s="46" t="str">
        <x:f>IF(OR($G27="",$H27=""),"",IF(AND(O$5&lt;=$H27,O$5+6&gt;=$G27),"■",""))</x:f>
      </x:c>
      <x:c r="P27" s="46" t="str">
        <x:f>IF(OR($G27="",$H27=""),"",IF(AND(P$5&lt;=$H27,P$5+6&gt;=$G27),"■",""))</x:f>
      </x:c>
      <x:c r="Q27" s="46" t="str">
        <x:f>IF(OR($G27="",$H27=""),"",IF(AND(Q$5&lt;=$H27,Q$5+6&gt;=$G27),"■",""))</x:f>
        <x:v>■</x:v>
      </x:c>
      <x:c r="R27" s="46" t="str">
        <x:f>IF(OR($G27="",$H27=""),"",IF(AND(R$5&lt;=$H27,R$5+6&gt;=$G27),"■",""))</x:f>
      </x:c>
      <x:c r="S27" s="46" t="str">
        <x:f>IF(OR($G27="",$H27=""),"",IF(AND(S$5&lt;=$H27,S$5+6&gt;=$G27),"■",""))</x:f>
      </x:c>
      <x:c r="T27" s="46" t="str">
        <x:f>IF(OR($G27="",$H27=""),"",IF(AND(T$5&lt;=$H27,T$5+6&gt;=$G27),"■",""))</x:f>
      </x:c>
      <x:c r="U27" s="46" t="str">
        <x:f>IF(OR($G27="",$H27=""),"",IF(AND(U$5&lt;=$H27,U$5+6&gt;=$G27),"■",""))</x:f>
      </x:c>
      <x:c r="V27" s="46" t="str">
        <x:f>IF(OR($G27="",$H27=""),"",IF(AND(V$5&lt;=$H27,V$5+6&gt;=$G27),"■",""))</x:f>
      </x:c>
      <x:c r="W27" s="46" t="str">
        <x:f>IF(OR($G27="",$H27=""),"",IF(AND(W$5&lt;=$H27,W$5+6&gt;=$G27),"■",""))</x:f>
      </x:c>
      <x:c r="X27" s="46" t="str">
        <x:f>IF(OR($G27="",$H27=""),"",IF(AND(X$5&lt;=$H27,X$5+6&gt;=$G27),"■",""))</x:f>
      </x:c>
      <x:c r="Y27" s="46" t="str">
        <x:f>IF(OR($G27="",$H27=""),"",IF(AND(Y$5&lt;=$H27,Y$5+6&gt;=$G27),"■",""))</x:f>
      </x:c>
      <x:c r="Z27" s="46" t="str">
        <x:f>IF(OR($G27="",$H27=""),"",IF(AND(Z$5&lt;=$H27,Z$5+6&gt;=$G27),"■",""))</x:f>
      </x:c>
      <x:c r="AA27" s="46" t="str">
        <x:f>IF(OR($G27="",$H27=""),"",IF(AND(AA$5&lt;=$H27,AA$5+6&gt;=$G27),"■",""))</x:f>
      </x:c>
      <x:c r="AB27" s="46" t="str">
        <x:f>IF(OR($G27="",$H27=""),"",IF(AND(AB$5&lt;=$H27,AB$5+6&gt;=$G27),"■",""))</x:f>
      </x:c>
      <x:c r="AC27" s="46" t="str">
        <x:f>IF(OR($G27="",$H27=""),"",IF(AND(AC$5&lt;=$H27,AC$5+6&gt;=$G27),"■",""))</x:f>
      </x:c>
      <x:c r="AD27" s="46" t="str">
        <x:f>IF(OR($G27="",$H27=""),"",IF(AND(AD$5&lt;=$H27,AD$5+6&gt;=$G27),"■",""))</x:f>
      </x:c>
      <x:c r="AE27" s="46" t="str">
        <x:f>IF(OR($G27="",$H27=""),"",IF(AND(AE$5&lt;=$H27,AE$5+6&gt;=$G27),"■",""))</x:f>
      </x:c>
      <x:c r="AF27" s="46" t="str">
        <x:f>IF(OR($G27="",$H27=""),"",IF(AND(AF$5&lt;=$H27,AF$5+6&gt;=$G27),"■",""))</x:f>
      </x:c>
      <x:c r="AG27" s="46" t="str">
        <x:f>IF(OR($G27="",$H27=""),"",IF(AND(AG$5&lt;=$H27,AG$5+6&gt;=$G27),"■",""))</x:f>
      </x:c>
      <x:c r="AH27" s="46" t="str">
        <x:f>IF(OR($G27="",$H27=""),"",IF(AND(AH$5&lt;=$H27,AH$5+6&gt;=$G27),"■",""))</x:f>
      </x:c>
      <x:c r="AI27" s="46" t="str">
        <x:f>IF(OR($G27="",$H27=""),"",IF(AND(AI$5&lt;=$H27,AI$5+6&gt;=$G27),"■",""))</x:f>
      </x:c>
      <x:c r="AJ27" s="46" t="str">
        <x:f>IF(OR($G27="",$H27=""),"",IF(AND(AJ$5&lt;=$H27,AJ$5+6&gt;=$G27),"■",""))</x:f>
      </x:c>
      <x:c r="AK27" s="46" t="str">
        <x:f>IF(OR($G27="",$H27=""),"",IF(AND(AK$5&lt;=$H27,AK$5+6&gt;=$G27),"■",""))</x:f>
      </x:c>
      <x:c r="AL27" s="46" t="str">
        <x:f>IF(OR($G27="",$H27=""),"",IF(AND(AL$5&lt;=$H27,AL$5+6&gt;=$G27),"■",""))</x:f>
      </x:c>
      <x:c r="AM27" s="46" t="str">
        <x:f>IF(OR($G27="",$H27=""),"",IF(AND(AM$5&lt;=$H27,AM$5+6&gt;=$G27),"■",""))</x:f>
      </x:c>
    </x:row>
    <x:row r="28" ht="28" customHeight="1">
      <x:c r="A28" s="26" t="str">
        <x:v>ENG-R3-001</x:v>
      </x:c>
      <x:c r="B28" s="26" t="str">
        <x:v>Almanac/Search/Date Review/Redating</x:v>
      </x:c>
      <x:c r="C28" s="26" t="str">
        <x:v>Backlog</x:v>
      </x:c>
      <x:c r="D28" s="26" t="str">
        <x:v>Incomplete</x:v>
      </x:c>
      <x:c r="E28" s="26" t="str">
        <x:v>No</x:v>
      </x:c>
      <x:c r="F28" s="26" t="str">
        <x:v>R3</x:v>
      </x:c>
      <x:c r="G28" s="35" t="n">
        <x:v>46310</x:v>
      </x:c>
      <x:c r="H28" s="35" t="n">
        <x:v>46323</x:v>
      </x:c>
      <x:c r="I28" s="46" t="str">
        <x:f>IF(OR($G28="",$H28=""),"",IF(AND(I$5&lt;=$H28,I$5+6&gt;=$G28),"■",""))</x:f>
      </x:c>
      <x:c r="J28" s="46" t="str">
        <x:f>IF(OR($G28="",$H28=""),"",IF(AND(J$5&lt;=$H28,J$5+6&gt;=$G28),"■",""))</x:f>
      </x:c>
      <x:c r="K28" s="46" t="str">
        <x:f>IF(OR($G28="",$H28=""),"",IF(AND(K$5&lt;=$H28,K$5+6&gt;=$G28),"■",""))</x:f>
      </x:c>
      <x:c r="L28" s="46" t="str">
        <x:f>IF(OR($G28="",$H28=""),"",IF(AND(L$5&lt;=$H28,L$5+6&gt;=$G28),"■",""))</x:f>
      </x:c>
      <x:c r="M28" s="46" t="str">
        <x:f>IF(OR($G28="",$H28=""),"",IF(AND(M$5&lt;=$H28,M$5+6&gt;=$G28),"■",""))</x:f>
      </x:c>
      <x:c r="N28" s="46" t="str">
        <x:f>IF(OR($G28="",$H28=""),"",IF(AND(N$5&lt;=$H28,N$5+6&gt;=$G28),"■",""))</x:f>
      </x:c>
      <x:c r="O28" s="46" t="str">
        <x:f>IF(OR($G28="",$H28=""),"",IF(AND(O$5&lt;=$H28,O$5+6&gt;=$G28),"■",""))</x:f>
      </x:c>
      <x:c r="P28" s="46" t="str">
        <x:f>IF(OR($G28="",$H28=""),"",IF(AND(P$5&lt;=$H28,P$5+6&gt;=$G28),"■",""))</x:f>
      </x:c>
      <x:c r="Q28" s="46" t="str">
        <x:f>IF(OR($G28="",$H28=""),"",IF(AND(Q$5&lt;=$H28,Q$5+6&gt;=$G28),"■",""))</x:f>
        <x:v>■</x:v>
      </x:c>
      <x:c r="R28" s="46" t="str">
        <x:f>IF(OR($G28="",$H28=""),"",IF(AND(R$5&lt;=$H28,R$5+6&gt;=$G28),"■",""))</x:f>
        <x:v>■</x:v>
      </x:c>
      <x:c r="S28" s="46" t="str">
        <x:f>IF(OR($G28="",$H28=""),"",IF(AND(S$5&lt;=$H28,S$5+6&gt;=$G28),"■",""))</x:f>
        <x:v>■</x:v>
      </x:c>
      <x:c r="T28" s="46" t="str">
        <x:f>IF(OR($G28="",$H28=""),"",IF(AND(T$5&lt;=$H28,T$5+6&gt;=$G28),"■",""))</x:f>
      </x:c>
      <x:c r="U28" s="46" t="str">
        <x:f>IF(OR($G28="",$H28=""),"",IF(AND(U$5&lt;=$H28,U$5+6&gt;=$G28),"■",""))</x:f>
      </x:c>
      <x:c r="V28" s="46" t="str">
        <x:f>IF(OR($G28="",$H28=""),"",IF(AND(V$5&lt;=$H28,V$5+6&gt;=$G28),"■",""))</x:f>
      </x:c>
      <x:c r="W28" s="46" t="str">
        <x:f>IF(OR($G28="",$H28=""),"",IF(AND(W$5&lt;=$H28,W$5+6&gt;=$G28),"■",""))</x:f>
      </x:c>
      <x:c r="X28" s="46" t="str">
        <x:f>IF(OR($G28="",$H28=""),"",IF(AND(X$5&lt;=$H28,X$5+6&gt;=$G28),"■",""))</x:f>
      </x:c>
      <x:c r="Y28" s="46" t="str">
        <x:f>IF(OR($G28="",$H28=""),"",IF(AND(Y$5&lt;=$H28,Y$5+6&gt;=$G28),"■",""))</x:f>
      </x:c>
      <x:c r="Z28" s="46" t="str">
        <x:f>IF(OR($G28="",$H28=""),"",IF(AND(Z$5&lt;=$H28,Z$5+6&gt;=$G28),"■",""))</x:f>
      </x:c>
      <x:c r="AA28" s="46" t="str">
        <x:f>IF(OR($G28="",$H28=""),"",IF(AND(AA$5&lt;=$H28,AA$5+6&gt;=$G28),"■",""))</x:f>
      </x:c>
      <x:c r="AB28" s="46" t="str">
        <x:f>IF(OR($G28="",$H28=""),"",IF(AND(AB$5&lt;=$H28,AB$5+6&gt;=$G28),"■",""))</x:f>
      </x:c>
      <x:c r="AC28" s="46" t="str">
        <x:f>IF(OR($G28="",$H28=""),"",IF(AND(AC$5&lt;=$H28,AC$5+6&gt;=$G28),"■",""))</x:f>
      </x:c>
      <x:c r="AD28" s="46" t="str">
        <x:f>IF(OR($G28="",$H28=""),"",IF(AND(AD$5&lt;=$H28,AD$5+6&gt;=$G28),"■",""))</x:f>
      </x:c>
      <x:c r="AE28" s="46" t="str">
        <x:f>IF(OR($G28="",$H28=""),"",IF(AND(AE$5&lt;=$H28,AE$5+6&gt;=$G28),"■",""))</x:f>
      </x:c>
      <x:c r="AF28" s="46" t="str">
        <x:f>IF(OR($G28="",$H28=""),"",IF(AND(AF$5&lt;=$H28,AF$5+6&gt;=$G28),"■",""))</x:f>
      </x:c>
      <x:c r="AG28" s="46" t="str">
        <x:f>IF(OR($G28="",$H28=""),"",IF(AND(AG$5&lt;=$H28,AG$5+6&gt;=$G28),"■",""))</x:f>
      </x:c>
      <x:c r="AH28" s="46" t="str">
        <x:f>IF(OR($G28="",$H28=""),"",IF(AND(AH$5&lt;=$H28,AH$5+6&gt;=$G28),"■",""))</x:f>
      </x:c>
      <x:c r="AI28" s="46" t="str">
        <x:f>IF(OR($G28="",$H28=""),"",IF(AND(AI$5&lt;=$H28,AI$5+6&gt;=$G28),"■",""))</x:f>
      </x:c>
      <x:c r="AJ28" s="46" t="str">
        <x:f>IF(OR($G28="",$H28=""),"",IF(AND(AJ$5&lt;=$H28,AJ$5+6&gt;=$G28),"■",""))</x:f>
      </x:c>
      <x:c r="AK28" s="46" t="str">
        <x:f>IF(OR($G28="",$H28=""),"",IF(AND(AK$5&lt;=$H28,AK$5+6&gt;=$G28),"■",""))</x:f>
      </x:c>
      <x:c r="AL28" s="46" t="str">
        <x:f>IF(OR($G28="",$H28=""),"",IF(AND(AL$5&lt;=$H28,AL$5+6&gt;=$G28),"■",""))</x:f>
      </x:c>
      <x:c r="AM28" s="46" t="str">
        <x:f>IF(OR($G28="",$H28=""),"",IF(AND(AM$5&lt;=$H28,AM$5+6&gt;=$G28),"■",""))</x:f>
      </x:c>
    </x:row>
    <x:row r="29" ht="28" customHeight="1">
      <x:c r="A29" s="26" t="str">
        <x:v>REL-R3-001</x:v>
      </x:c>
      <x:c r="B29" s="26" t="str">
        <x:v>Query Privacy &amp; Date Atomicity Acceptance</x:v>
      </x:c>
      <x:c r="C29" s="26" t="str">
        <x:v>Backlog</x:v>
      </x:c>
      <x:c r="D29" s="26" t="str">
        <x:v>Incomplete</x:v>
      </x:c>
      <x:c r="E29" s="26" t="str">
        <x:v>No</x:v>
      </x:c>
      <x:c r="F29" s="26" t="str">
        <x:v>R3</x:v>
      </x:c>
      <x:c r="G29" s="35" t="n">
        <x:v>46324</x:v>
      </x:c>
      <x:c r="H29" s="35" t="n">
        <x:v>46325</x:v>
      </x:c>
      <x:c r="I29" s="46" t="str">
        <x:f>IF(OR($G29="",$H29=""),"",IF(AND(I$5&lt;=$H29,I$5+6&gt;=$G29),"■",""))</x:f>
      </x:c>
      <x:c r="J29" s="46" t="str">
        <x:f>IF(OR($G29="",$H29=""),"",IF(AND(J$5&lt;=$H29,J$5+6&gt;=$G29),"■",""))</x:f>
      </x:c>
      <x:c r="K29" s="46" t="str">
        <x:f>IF(OR($G29="",$H29=""),"",IF(AND(K$5&lt;=$H29,K$5+6&gt;=$G29),"■",""))</x:f>
      </x:c>
      <x:c r="L29" s="46" t="str">
        <x:f>IF(OR($G29="",$H29=""),"",IF(AND(L$5&lt;=$H29,L$5+6&gt;=$G29),"■",""))</x:f>
      </x:c>
      <x:c r="M29" s="46" t="str">
        <x:f>IF(OR($G29="",$H29=""),"",IF(AND(M$5&lt;=$H29,M$5+6&gt;=$G29),"■",""))</x:f>
      </x:c>
      <x:c r="N29" s="46" t="str">
        <x:f>IF(OR($G29="",$H29=""),"",IF(AND(N$5&lt;=$H29,N$5+6&gt;=$G29),"■",""))</x:f>
      </x:c>
      <x:c r="O29" s="46" t="str">
        <x:f>IF(OR($G29="",$H29=""),"",IF(AND(O$5&lt;=$H29,O$5+6&gt;=$G29),"■",""))</x:f>
      </x:c>
      <x:c r="P29" s="46" t="str">
        <x:f>IF(OR($G29="",$H29=""),"",IF(AND(P$5&lt;=$H29,P$5+6&gt;=$G29),"■",""))</x:f>
      </x:c>
      <x:c r="Q29" s="46" t="str">
        <x:f>IF(OR($G29="",$H29=""),"",IF(AND(Q$5&lt;=$H29,Q$5+6&gt;=$G29),"■",""))</x:f>
      </x:c>
      <x:c r="R29" s="46" t="str">
        <x:f>IF(OR($G29="",$H29=""),"",IF(AND(R$5&lt;=$H29,R$5+6&gt;=$G29),"■",""))</x:f>
      </x:c>
      <x:c r="S29" s="46" t="str">
        <x:f>IF(OR($G29="",$H29=""),"",IF(AND(S$5&lt;=$H29,S$5+6&gt;=$G29),"■",""))</x:f>
        <x:v>■</x:v>
      </x:c>
      <x:c r="T29" s="46" t="str">
        <x:f>IF(OR($G29="",$H29=""),"",IF(AND(T$5&lt;=$H29,T$5+6&gt;=$G29),"■",""))</x:f>
      </x:c>
      <x:c r="U29" s="46" t="str">
        <x:f>IF(OR($G29="",$H29=""),"",IF(AND(U$5&lt;=$H29,U$5+6&gt;=$G29),"■",""))</x:f>
      </x:c>
      <x:c r="V29" s="46" t="str">
        <x:f>IF(OR($G29="",$H29=""),"",IF(AND(V$5&lt;=$H29,V$5+6&gt;=$G29),"■",""))</x:f>
      </x:c>
      <x:c r="W29" s="46" t="str">
        <x:f>IF(OR($G29="",$H29=""),"",IF(AND(W$5&lt;=$H29,W$5+6&gt;=$G29),"■",""))</x:f>
      </x:c>
      <x:c r="X29" s="46" t="str">
        <x:f>IF(OR($G29="",$H29=""),"",IF(AND(X$5&lt;=$H29,X$5+6&gt;=$G29),"■",""))</x:f>
      </x:c>
      <x:c r="Y29" s="46" t="str">
        <x:f>IF(OR($G29="",$H29=""),"",IF(AND(Y$5&lt;=$H29,Y$5+6&gt;=$G29),"■",""))</x:f>
      </x:c>
      <x:c r="Z29" s="46" t="str">
        <x:f>IF(OR($G29="",$H29=""),"",IF(AND(Z$5&lt;=$H29,Z$5+6&gt;=$G29),"■",""))</x:f>
      </x:c>
      <x:c r="AA29" s="46" t="str">
        <x:f>IF(OR($G29="",$H29=""),"",IF(AND(AA$5&lt;=$H29,AA$5+6&gt;=$G29),"■",""))</x:f>
      </x:c>
      <x:c r="AB29" s="46" t="str">
        <x:f>IF(OR($G29="",$H29=""),"",IF(AND(AB$5&lt;=$H29,AB$5+6&gt;=$G29),"■",""))</x:f>
      </x:c>
      <x:c r="AC29" s="46" t="str">
        <x:f>IF(OR($G29="",$H29=""),"",IF(AND(AC$5&lt;=$H29,AC$5+6&gt;=$G29),"■",""))</x:f>
      </x:c>
      <x:c r="AD29" s="46" t="str">
        <x:f>IF(OR($G29="",$H29=""),"",IF(AND(AD$5&lt;=$H29,AD$5+6&gt;=$G29),"■",""))</x:f>
      </x:c>
      <x:c r="AE29" s="46" t="str">
        <x:f>IF(OR($G29="",$H29=""),"",IF(AND(AE$5&lt;=$H29,AE$5+6&gt;=$G29),"■",""))</x:f>
      </x:c>
      <x:c r="AF29" s="46" t="str">
        <x:f>IF(OR($G29="",$H29=""),"",IF(AND(AF$5&lt;=$H29,AF$5+6&gt;=$G29),"■",""))</x:f>
      </x:c>
      <x:c r="AG29" s="46" t="str">
        <x:f>IF(OR($G29="",$H29=""),"",IF(AND(AG$5&lt;=$H29,AG$5+6&gt;=$G29),"■",""))</x:f>
      </x:c>
      <x:c r="AH29" s="46" t="str">
        <x:f>IF(OR($G29="",$H29=""),"",IF(AND(AH$5&lt;=$H29,AH$5+6&gt;=$G29),"■",""))</x:f>
      </x:c>
      <x:c r="AI29" s="46" t="str">
        <x:f>IF(OR($G29="",$H29=""),"",IF(AND(AI$5&lt;=$H29,AI$5+6&gt;=$G29),"■",""))</x:f>
      </x:c>
      <x:c r="AJ29" s="46" t="str">
        <x:f>IF(OR($G29="",$H29=""),"",IF(AND(AJ$5&lt;=$H29,AJ$5+6&gt;=$G29),"■",""))</x:f>
      </x:c>
      <x:c r="AK29" s="46" t="str">
        <x:f>IF(OR($G29="",$H29=""),"",IF(AND(AK$5&lt;=$H29,AK$5+6&gt;=$G29),"■",""))</x:f>
      </x:c>
      <x:c r="AL29" s="46" t="str">
        <x:f>IF(OR($G29="",$H29=""),"",IF(AND(AL$5&lt;=$H29,AL$5+6&gt;=$G29),"■",""))</x:f>
      </x:c>
      <x:c r="AM29" s="46" t="str">
        <x:f>IF(OR($G29="",$H29=""),"",IF(AND(AM$5&lt;=$H29,AM$5+6&gt;=$G29),"■",""))</x:f>
      </x:c>
    </x:row>
    <x:row r="30" ht="28" customHeight="1">
      <x:c r="A30" s="26" t="str">
        <x:v>PRD-R4-001</x:v>
      </x:c>
      <x:c r="B30" s="26" t="str">
        <x:v>Lifecycle PRD</x:v>
      </x:c>
      <x:c r="C30" s="26" t="str">
        <x:v>Done</x:v>
      </x:c>
      <x:c r="D30" s="26" t="str">
        <x:v>Incomplete</x:v>
      </x:c>
      <x:c r="E30" s="26" t="str">
        <x:v>No</x:v>
      </x:c>
      <x:c r="F30" s="26" t="str">
        <x:v>R4</x:v>
      </x:c>
      <x:c r="G30" s="35" t="n">
        <x:v>46328</x:v>
      </x:c>
      <x:c r="H30" s="35" t="n">
        <x:v>46330</x:v>
      </x:c>
      <x:c r="I30" s="46" t="str">
        <x:f>IF(OR($G30="",$H30=""),"",IF(AND(I$5&lt;=$H30,I$5+6&gt;=$G30),"■",""))</x:f>
      </x:c>
      <x:c r="J30" s="46" t="str">
        <x:f>IF(OR($G30="",$H30=""),"",IF(AND(J$5&lt;=$H30,J$5+6&gt;=$G30),"■",""))</x:f>
      </x:c>
      <x:c r="K30" s="46" t="str">
        <x:f>IF(OR($G30="",$H30=""),"",IF(AND(K$5&lt;=$H30,K$5+6&gt;=$G30),"■",""))</x:f>
      </x:c>
      <x:c r="L30" s="46" t="str">
        <x:f>IF(OR($G30="",$H30=""),"",IF(AND(L$5&lt;=$H30,L$5+6&gt;=$G30),"■",""))</x:f>
      </x:c>
      <x:c r="M30" s="46" t="str">
        <x:f>IF(OR($G30="",$H30=""),"",IF(AND(M$5&lt;=$H30,M$5+6&gt;=$G30),"■",""))</x:f>
      </x:c>
      <x:c r="N30" s="46" t="str">
        <x:f>IF(OR($G30="",$H30=""),"",IF(AND(N$5&lt;=$H30,N$5+6&gt;=$G30),"■",""))</x:f>
      </x:c>
      <x:c r="O30" s="46" t="str">
        <x:f>IF(OR($G30="",$H30=""),"",IF(AND(O$5&lt;=$H30,O$5+6&gt;=$G30),"■",""))</x:f>
      </x:c>
      <x:c r="P30" s="46" t="str">
        <x:f>IF(OR($G30="",$H30=""),"",IF(AND(P$5&lt;=$H30,P$5+6&gt;=$G30),"■",""))</x:f>
      </x:c>
      <x:c r="Q30" s="46" t="str">
        <x:f>IF(OR($G30="",$H30=""),"",IF(AND(Q$5&lt;=$H30,Q$5+6&gt;=$G30),"■",""))</x:f>
      </x:c>
      <x:c r="R30" s="46" t="str">
        <x:f>IF(OR($G30="",$H30=""),"",IF(AND(R$5&lt;=$H30,R$5+6&gt;=$G30),"■",""))</x:f>
      </x:c>
      <x:c r="S30" s="46" t="str">
        <x:f>IF(OR($G30="",$H30=""),"",IF(AND(S$5&lt;=$H30,S$5+6&gt;=$G30),"■",""))</x:f>
      </x:c>
      <x:c r="T30" s="46" t="str">
        <x:f>IF(OR($G30="",$H30=""),"",IF(AND(T$5&lt;=$H30,T$5+6&gt;=$G30),"■",""))</x:f>
        <x:v>■</x:v>
      </x:c>
      <x:c r="U30" s="46" t="str">
        <x:f>IF(OR($G30="",$H30=""),"",IF(AND(U$5&lt;=$H30,U$5+6&gt;=$G30),"■",""))</x:f>
      </x:c>
      <x:c r="V30" s="46" t="str">
        <x:f>IF(OR($G30="",$H30=""),"",IF(AND(V$5&lt;=$H30,V$5+6&gt;=$G30),"■",""))</x:f>
      </x:c>
      <x:c r="W30" s="46" t="str">
        <x:f>IF(OR($G30="",$H30=""),"",IF(AND(W$5&lt;=$H30,W$5+6&gt;=$G30),"■",""))</x:f>
      </x:c>
      <x:c r="X30" s="46" t="str">
        <x:f>IF(OR($G30="",$H30=""),"",IF(AND(X$5&lt;=$H30,X$5+6&gt;=$G30),"■",""))</x:f>
      </x:c>
      <x:c r="Y30" s="46" t="str">
        <x:f>IF(OR($G30="",$H30=""),"",IF(AND(Y$5&lt;=$H30,Y$5+6&gt;=$G30),"■",""))</x:f>
      </x:c>
      <x:c r="Z30" s="46" t="str">
        <x:f>IF(OR($G30="",$H30=""),"",IF(AND(Z$5&lt;=$H30,Z$5+6&gt;=$G30),"■",""))</x:f>
      </x:c>
      <x:c r="AA30" s="46" t="str">
        <x:f>IF(OR($G30="",$H30=""),"",IF(AND(AA$5&lt;=$H30,AA$5+6&gt;=$G30),"■",""))</x:f>
      </x:c>
      <x:c r="AB30" s="46" t="str">
        <x:f>IF(OR($G30="",$H30=""),"",IF(AND(AB$5&lt;=$H30,AB$5+6&gt;=$G30),"■",""))</x:f>
      </x:c>
      <x:c r="AC30" s="46" t="str">
        <x:f>IF(OR($G30="",$H30=""),"",IF(AND(AC$5&lt;=$H30,AC$5+6&gt;=$G30),"■",""))</x:f>
      </x:c>
      <x:c r="AD30" s="46" t="str">
        <x:f>IF(OR($G30="",$H30=""),"",IF(AND(AD$5&lt;=$H30,AD$5+6&gt;=$G30),"■",""))</x:f>
      </x:c>
      <x:c r="AE30" s="46" t="str">
        <x:f>IF(OR($G30="",$H30=""),"",IF(AND(AE$5&lt;=$H30,AE$5+6&gt;=$G30),"■",""))</x:f>
      </x:c>
      <x:c r="AF30" s="46" t="str">
        <x:f>IF(OR($G30="",$H30=""),"",IF(AND(AF$5&lt;=$H30,AF$5+6&gt;=$G30),"■",""))</x:f>
      </x:c>
      <x:c r="AG30" s="46" t="str">
        <x:f>IF(OR($G30="",$H30=""),"",IF(AND(AG$5&lt;=$H30,AG$5+6&gt;=$G30),"■",""))</x:f>
      </x:c>
      <x:c r="AH30" s="46" t="str">
        <x:f>IF(OR($G30="",$H30=""),"",IF(AND(AH$5&lt;=$H30,AH$5+6&gt;=$G30),"■",""))</x:f>
      </x:c>
      <x:c r="AI30" s="46" t="str">
        <x:f>IF(OR($G30="",$H30=""),"",IF(AND(AI$5&lt;=$H30,AI$5+6&gt;=$G30),"■",""))</x:f>
      </x:c>
      <x:c r="AJ30" s="46" t="str">
        <x:f>IF(OR($G30="",$H30=""),"",IF(AND(AJ$5&lt;=$H30,AJ$5+6&gt;=$G30),"■",""))</x:f>
      </x:c>
      <x:c r="AK30" s="46" t="str">
        <x:f>IF(OR($G30="",$H30=""),"",IF(AND(AK$5&lt;=$H30,AK$5+6&gt;=$G30),"■",""))</x:f>
      </x:c>
      <x:c r="AL30" s="46" t="str">
        <x:f>IF(OR($G30="",$H30=""),"",IF(AND(AL$5&lt;=$H30,AL$5+6&gt;=$G30),"■",""))</x:f>
      </x:c>
      <x:c r="AM30" s="46" t="str">
        <x:f>IF(OR($G30="",$H30=""),"",IF(AND(AM$5&lt;=$H30,AM$5+6&gt;=$G30),"■",""))</x:f>
      </x:c>
    </x:row>
    <x:row r="31" ht="28" customHeight="1">
      <x:c r="A31" s="26" t="str">
        <x:v>UX-R4-001</x:v>
      </x:c>
      <x:c r="B31" s="26" t="str">
        <x:v>Diff/History/Trash/Export Designs</x:v>
      </x:c>
      <x:c r="C31" s="26" t="str">
        <x:v>Backlog</x:v>
      </x:c>
      <x:c r="D31" s="26" t="str">
        <x:v>Incomplete</x:v>
      </x:c>
      <x:c r="E31" s="26" t="str">
        <x:v>No</x:v>
      </x:c>
      <x:c r="F31" s="26" t="str">
        <x:v>R4</x:v>
      </x:c>
      <x:c r="G31" s="35" t="n">
        <x:v>46328</x:v>
      </x:c>
      <x:c r="H31" s="35" t="n">
        <x:v>46332</x:v>
      </x:c>
      <x:c r="I31" s="46" t="str">
        <x:f>IF(OR($G31="",$H31=""),"",IF(AND(I$5&lt;=$H31,I$5+6&gt;=$G31),"■",""))</x:f>
      </x:c>
      <x:c r="J31" s="46" t="str">
        <x:f>IF(OR($G31="",$H31=""),"",IF(AND(J$5&lt;=$H31,J$5+6&gt;=$G31),"■",""))</x:f>
      </x:c>
      <x:c r="K31" s="46" t="str">
        <x:f>IF(OR($G31="",$H31=""),"",IF(AND(K$5&lt;=$H31,K$5+6&gt;=$G31),"■",""))</x:f>
      </x:c>
      <x:c r="L31" s="46" t="str">
        <x:f>IF(OR($G31="",$H31=""),"",IF(AND(L$5&lt;=$H31,L$5+6&gt;=$G31),"■",""))</x:f>
      </x:c>
      <x:c r="M31" s="46" t="str">
        <x:f>IF(OR($G31="",$H31=""),"",IF(AND(M$5&lt;=$H31,M$5+6&gt;=$G31),"■",""))</x:f>
      </x:c>
      <x:c r="N31" s="46" t="str">
        <x:f>IF(OR($G31="",$H31=""),"",IF(AND(N$5&lt;=$H31,N$5+6&gt;=$G31),"■",""))</x:f>
      </x:c>
      <x:c r="O31" s="46" t="str">
        <x:f>IF(OR($G31="",$H31=""),"",IF(AND(O$5&lt;=$H31,O$5+6&gt;=$G31),"■",""))</x:f>
      </x:c>
      <x:c r="P31" s="46" t="str">
        <x:f>IF(OR($G31="",$H31=""),"",IF(AND(P$5&lt;=$H31,P$5+6&gt;=$G31),"■",""))</x:f>
      </x:c>
      <x:c r="Q31" s="46" t="str">
        <x:f>IF(OR($G31="",$H31=""),"",IF(AND(Q$5&lt;=$H31,Q$5+6&gt;=$G31),"■",""))</x:f>
      </x:c>
      <x:c r="R31" s="46" t="str">
        <x:f>IF(OR($G31="",$H31=""),"",IF(AND(R$5&lt;=$H31,R$5+6&gt;=$G31),"■",""))</x:f>
      </x:c>
      <x:c r="S31" s="46" t="str">
        <x:f>IF(OR($G31="",$H31=""),"",IF(AND(S$5&lt;=$H31,S$5+6&gt;=$G31),"■",""))</x:f>
      </x:c>
      <x:c r="T31" s="46" t="str">
        <x:f>IF(OR($G31="",$H31=""),"",IF(AND(T$5&lt;=$H31,T$5+6&gt;=$G31),"■",""))</x:f>
        <x:v>■</x:v>
      </x:c>
      <x:c r="U31" s="46" t="str">
        <x:f>IF(OR($G31="",$H31=""),"",IF(AND(U$5&lt;=$H31,U$5+6&gt;=$G31),"■",""))</x:f>
      </x:c>
      <x:c r="V31" s="46" t="str">
        <x:f>IF(OR($G31="",$H31=""),"",IF(AND(V$5&lt;=$H31,V$5+6&gt;=$G31),"■",""))</x:f>
      </x:c>
      <x:c r="W31" s="46" t="str">
        <x:f>IF(OR($G31="",$H31=""),"",IF(AND(W$5&lt;=$H31,W$5+6&gt;=$G31),"■",""))</x:f>
      </x:c>
      <x:c r="X31" s="46" t="str">
        <x:f>IF(OR($G31="",$H31=""),"",IF(AND(X$5&lt;=$H31,X$5+6&gt;=$G31),"■",""))</x:f>
      </x:c>
      <x:c r="Y31" s="46" t="str">
        <x:f>IF(OR($G31="",$H31=""),"",IF(AND(Y$5&lt;=$H31,Y$5+6&gt;=$G31),"■",""))</x:f>
      </x:c>
      <x:c r="Z31" s="46" t="str">
        <x:f>IF(OR($G31="",$H31=""),"",IF(AND(Z$5&lt;=$H31,Z$5+6&gt;=$G31),"■",""))</x:f>
      </x:c>
      <x:c r="AA31" s="46" t="str">
        <x:f>IF(OR($G31="",$H31=""),"",IF(AND(AA$5&lt;=$H31,AA$5+6&gt;=$G31),"■",""))</x:f>
      </x:c>
      <x:c r="AB31" s="46" t="str">
        <x:f>IF(OR($G31="",$H31=""),"",IF(AND(AB$5&lt;=$H31,AB$5+6&gt;=$G31),"■",""))</x:f>
      </x:c>
      <x:c r="AC31" s="46" t="str">
        <x:f>IF(OR($G31="",$H31=""),"",IF(AND(AC$5&lt;=$H31,AC$5+6&gt;=$G31),"■",""))</x:f>
      </x:c>
      <x:c r="AD31" s="46" t="str">
        <x:f>IF(OR($G31="",$H31=""),"",IF(AND(AD$5&lt;=$H31,AD$5+6&gt;=$G31),"■",""))</x:f>
      </x:c>
      <x:c r="AE31" s="46" t="str">
        <x:f>IF(OR($G31="",$H31=""),"",IF(AND(AE$5&lt;=$H31,AE$5+6&gt;=$G31),"■",""))</x:f>
      </x:c>
      <x:c r="AF31" s="46" t="str">
        <x:f>IF(OR($G31="",$H31=""),"",IF(AND(AF$5&lt;=$H31,AF$5+6&gt;=$G31),"■",""))</x:f>
      </x:c>
      <x:c r="AG31" s="46" t="str">
        <x:f>IF(OR($G31="",$H31=""),"",IF(AND(AG$5&lt;=$H31,AG$5+6&gt;=$G31),"■",""))</x:f>
      </x:c>
      <x:c r="AH31" s="46" t="str">
        <x:f>IF(OR($G31="",$H31=""),"",IF(AND(AH$5&lt;=$H31,AH$5+6&gt;=$G31),"■",""))</x:f>
      </x:c>
      <x:c r="AI31" s="46" t="str">
        <x:f>IF(OR($G31="",$H31=""),"",IF(AND(AI$5&lt;=$H31,AI$5+6&gt;=$G31),"■",""))</x:f>
      </x:c>
      <x:c r="AJ31" s="46" t="str">
        <x:f>IF(OR($G31="",$H31=""),"",IF(AND(AJ$5&lt;=$H31,AJ$5+6&gt;=$G31),"■",""))</x:f>
      </x:c>
      <x:c r="AK31" s="46" t="str">
        <x:f>IF(OR($G31="",$H31=""),"",IF(AND(AK$5&lt;=$H31,AK$5+6&gt;=$G31),"■",""))</x:f>
      </x:c>
      <x:c r="AL31" s="46" t="str">
        <x:f>IF(OR($G31="",$H31=""),"",IF(AND(AL$5&lt;=$H31,AL$5+6&gt;=$G31),"■",""))</x:f>
      </x:c>
      <x:c r="AM31" s="46" t="str">
        <x:f>IF(OR($G31="",$H31=""),"",IF(AND(AM$5&lt;=$H31,AM$5+6&gt;=$G31),"■",""))</x:f>
      </x:c>
    </x:row>
    <x:row r="32" ht="28" customHeight="1">
      <x:c r="A32" s="26" t="str">
        <x:v>ARCH-R4-001</x:v>
      </x:c>
      <x:c r="B32" s="26" t="str">
        <x:v>Revision/Suppression/Export Lifecycle</x:v>
      </x:c>
      <x:c r="C32" s="26" t="str">
        <x:v>Backlog</x:v>
      </x:c>
      <x:c r="D32" s="26" t="str">
        <x:v>Incomplete</x:v>
      </x:c>
      <x:c r="E32" s="26" t="str">
        <x:v>No</x:v>
      </x:c>
      <x:c r="F32" s="26" t="str">
        <x:v>R4</x:v>
      </x:c>
      <x:c r="G32" s="35" t="n">
        <x:v>46328</x:v>
      </x:c>
      <x:c r="H32" s="35" t="n">
        <x:v>46332</x:v>
      </x:c>
      <x:c r="I32" s="46" t="str">
        <x:f>IF(OR($G32="",$H32=""),"",IF(AND(I$5&lt;=$H32,I$5+6&gt;=$G32),"■",""))</x:f>
      </x:c>
      <x:c r="J32" s="46" t="str">
        <x:f>IF(OR($G32="",$H32=""),"",IF(AND(J$5&lt;=$H32,J$5+6&gt;=$G32),"■",""))</x:f>
      </x:c>
      <x:c r="K32" s="46" t="str">
        <x:f>IF(OR($G32="",$H32=""),"",IF(AND(K$5&lt;=$H32,K$5+6&gt;=$G32),"■",""))</x:f>
      </x:c>
      <x:c r="L32" s="46" t="str">
        <x:f>IF(OR($G32="",$H32=""),"",IF(AND(L$5&lt;=$H32,L$5+6&gt;=$G32),"■",""))</x:f>
      </x:c>
      <x:c r="M32" s="46" t="str">
        <x:f>IF(OR($G32="",$H32=""),"",IF(AND(M$5&lt;=$H32,M$5+6&gt;=$G32),"■",""))</x:f>
      </x:c>
      <x:c r="N32" s="46" t="str">
        <x:f>IF(OR($G32="",$H32=""),"",IF(AND(N$5&lt;=$H32,N$5+6&gt;=$G32),"■",""))</x:f>
      </x:c>
      <x:c r="O32" s="46" t="str">
        <x:f>IF(OR($G32="",$H32=""),"",IF(AND(O$5&lt;=$H32,O$5+6&gt;=$G32),"■",""))</x:f>
      </x:c>
      <x:c r="P32" s="46" t="str">
        <x:f>IF(OR($G32="",$H32=""),"",IF(AND(P$5&lt;=$H32,P$5+6&gt;=$G32),"■",""))</x:f>
      </x:c>
      <x:c r="Q32" s="46" t="str">
        <x:f>IF(OR($G32="",$H32=""),"",IF(AND(Q$5&lt;=$H32,Q$5+6&gt;=$G32),"■",""))</x:f>
      </x:c>
      <x:c r="R32" s="46" t="str">
        <x:f>IF(OR($G32="",$H32=""),"",IF(AND(R$5&lt;=$H32,R$5+6&gt;=$G32),"■",""))</x:f>
      </x:c>
      <x:c r="S32" s="46" t="str">
        <x:f>IF(OR($G32="",$H32=""),"",IF(AND(S$5&lt;=$H32,S$5+6&gt;=$G32),"■",""))</x:f>
      </x:c>
      <x:c r="T32" s="46" t="str">
        <x:f>IF(OR($G32="",$H32=""),"",IF(AND(T$5&lt;=$H32,T$5+6&gt;=$G32),"■",""))</x:f>
        <x:v>■</x:v>
      </x:c>
      <x:c r="U32" s="46" t="str">
        <x:f>IF(OR($G32="",$H32=""),"",IF(AND(U$5&lt;=$H32,U$5+6&gt;=$G32),"■",""))</x:f>
      </x:c>
      <x:c r="V32" s="46" t="str">
        <x:f>IF(OR($G32="",$H32=""),"",IF(AND(V$5&lt;=$H32,V$5+6&gt;=$G32),"■",""))</x:f>
      </x:c>
      <x:c r="W32" s="46" t="str">
        <x:f>IF(OR($G32="",$H32=""),"",IF(AND(W$5&lt;=$H32,W$5+6&gt;=$G32),"■",""))</x:f>
      </x:c>
      <x:c r="X32" s="46" t="str">
        <x:f>IF(OR($G32="",$H32=""),"",IF(AND(X$5&lt;=$H32,X$5+6&gt;=$G32),"■",""))</x:f>
      </x:c>
      <x:c r="Y32" s="46" t="str">
        <x:f>IF(OR($G32="",$H32=""),"",IF(AND(Y$5&lt;=$H32,Y$5+6&gt;=$G32),"■",""))</x:f>
      </x:c>
      <x:c r="Z32" s="46" t="str">
        <x:f>IF(OR($G32="",$H32=""),"",IF(AND(Z$5&lt;=$H32,Z$5+6&gt;=$G32),"■",""))</x:f>
      </x:c>
      <x:c r="AA32" s="46" t="str">
        <x:f>IF(OR($G32="",$H32=""),"",IF(AND(AA$5&lt;=$H32,AA$5+6&gt;=$G32),"■",""))</x:f>
      </x:c>
      <x:c r="AB32" s="46" t="str">
        <x:f>IF(OR($G32="",$H32=""),"",IF(AND(AB$5&lt;=$H32,AB$5+6&gt;=$G32),"■",""))</x:f>
      </x:c>
      <x:c r="AC32" s="46" t="str">
        <x:f>IF(OR($G32="",$H32=""),"",IF(AND(AC$5&lt;=$H32,AC$5+6&gt;=$G32),"■",""))</x:f>
      </x:c>
      <x:c r="AD32" s="46" t="str">
        <x:f>IF(OR($G32="",$H32=""),"",IF(AND(AD$5&lt;=$H32,AD$5+6&gt;=$G32),"■",""))</x:f>
      </x:c>
      <x:c r="AE32" s="46" t="str">
        <x:f>IF(OR($G32="",$H32=""),"",IF(AND(AE$5&lt;=$H32,AE$5+6&gt;=$G32),"■",""))</x:f>
      </x:c>
      <x:c r="AF32" s="46" t="str">
        <x:f>IF(OR($G32="",$H32=""),"",IF(AND(AF$5&lt;=$H32,AF$5+6&gt;=$G32),"■",""))</x:f>
      </x:c>
      <x:c r="AG32" s="46" t="str">
        <x:f>IF(OR($G32="",$H32=""),"",IF(AND(AG$5&lt;=$H32,AG$5+6&gt;=$G32),"■",""))</x:f>
      </x:c>
      <x:c r="AH32" s="46" t="str">
        <x:f>IF(OR($G32="",$H32=""),"",IF(AND(AH$5&lt;=$H32,AH$5+6&gt;=$G32),"■",""))</x:f>
      </x:c>
      <x:c r="AI32" s="46" t="str">
        <x:f>IF(OR($G32="",$H32=""),"",IF(AND(AI$5&lt;=$H32,AI$5+6&gt;=$G32),"■",""))</x:f>
      </x:c>
      <x:c r="AJ32" s="46" t="str">
        <x:f>IF(OR($G32="",$H32=""),"",IF(AND(AJ$5&lt;=$H32,AJ$5+6&gt;=$G32),"■",""))</x:f>
      </x:c>
      <x:c r="AK32" s="46" t="str">
        <x:f>IF(OR($G32="",$H32=""),"",IF(AND(AK$5&lt;=$H32,AK$5+6&gt;=$G32),"■",""))</x:f>
      </x:c>
      <x:c r="AL32" s="46" t="str">
        <x:f>IF(OR($G32="",$H32=""),"",IF(AND(AL$5&lt;=$H32,AL$5+6&gt;=$G32),"■",""))</x:f>
      </x:c>
      <x:c r="AM32" s="46" t="str">
        <x:f>IF(OR($G32="",$H32=""),"",IF(AND(AM$5&lt;=$H32,AM$5+6&gt;=$G32),"■",""))</x:f>
      </x:c>
    </x:row>
    <x:row r="33" ht="28" customHeight="1">
      <x:c r="A33" s="26" t="str">
        <x:v>ENG-R4-001</x:v>
      </x:c>
      <x:c r="B33" s="26" t="str">
        <x:v>Corrections/Conflict/History</x:v>
      </x:c>
      <x:c r="C33" s="26" t="str">
        <x:v>Backlog</x:v>
      </x:c>
      <x:c r="D33" s="26" t="str">
        <x:v>Incomplete</x:v>
      </x:c>
      <x:c r="E33" s="26" t="str">
        <x:v>No</x:v>
      </x:c>
      <x:c r="F33" s="26" t="str">
        <x:v>R4</x:v>
      </x:c>
      <x:c r="G33" s="35" t="n">
        <x:v>46331</x:v>
      </x:c>
      <x:c r="H33" s="35" t="n">
        <x:v>46339</x:v>
      </x:c>
      <x:c r="I33" s="46" t="str">
        <x:f>IF(OR($G33="",$H33=""),"",IF(AND(I$5&lt;=$H33,I$5+6&gt;=$G33),"■",""))</x:f>
      </x:c>
      <x:c r="J33" s="46" t="str">
        <x:f>IF(OR($G33="",$H33=""),"",IF(AND(J$5&lt;=$H33,J$5+6&gt;=$G33),"■",""))</x:f>
      </x:c>
      <x:c r="K33" s="46" t="str">
        <x:f>IF(OR($G33="",$H33=""),"",IF(AND(K$5&lt;=$H33,K$5+6&gt;=$G33),"■",""))</x:f>
      </x:c>
      <x:c r="L33" s="46" t="str">
        <x:f>IF(OR($G33="",$H33=""),"",IF(AND(L$5&lt;=$H33,L$5+6&gt;=$G33),"■",""))</x:f>
      </x:c>
      <x:c r="M33" s="46" t="str">
        <x:f>IF(OR($G33="",$H33=""),"",IF(AND(M$5&lt;=$H33,M$5+6&gt;=$G33),"■",""))</x:f>
      </x:c>
      <x:c r="N33" s="46" t="str">
        <x:f>IF(OR($G33="",$H33=""),"",IF(AND(N$5&lt;=$H33,N$5+6&gt;=$G33),"■",""))</x:f>
      </x:c>
      <x:c r="O33" s="46" t="str">
        <x:f>IF(OR($G33="",$H33=""),"",IF(AND(O$5&lt;=$H33,O$5+6&gt;=$G33),"■",""))</x:f>
      </x:c>
      <x:c r="P33" s="46" t="str">
        <x:f>IF(OR($G33="",$H33=""),"",IF(AND(P$5&lt;=$H33,P$5+6&gt;=$G33),"■",""))</x:f>
      </x:c>
      <x:c r="Q33" s="46" t="str">
        <x:f>IF(OR($G33="",$H33=""),"",IF(AND(Q$5&lt;=$H33,Q$5+6&gt;=$G33),"■",""))</x:f>
      </x:c>
      <x:c r="R33" s="46" t="str">
        <x:f>IF(OR($G33="",$H33=""),"",IF(AND(R$5&lt;=$H33,R$5+6&gt;=$G33),"■",""))</x:f>
      </x:c>
      <x:c r="S33" s="46" t="str">
        <x:f>IF(OR($G33="",$H33=""),"",IF(AND(S$5&lt;=$H33,S$5+6&gt;=$G33),"■",""))</x:f>
      </x:c>
      <x:c r="T33" s="46" t="str">
        <x:f>IF(OR($G33="",$H33=""),"",IF(AND(T$5&lt;=$H33,T$5+6&gt;=$G33),"■",""))</x:f>
        <x:v>■</x:v>
      </x:c>
      <x:c r="U33" s="46" t="str">
        <x:f>IF(OR($G33="",$H33=""),"",IF(AND(U$5&lt;=$H33,U$5+6&gt;=$G33),"■",""))</x:f>
        <x:v>■</x:v>
      </x:c>
      <x:c r="V33" s="46" t="str">
        <x:f>IF(OR($G33="",$H33=""),"",IF(AND(V$5&lt;=$H33,V$5+6&gt;=$G33),"■",""))</x:f>
      </x:c>
      <x:c r="W33" s="46" t="str">
        <x:f>IF(OR($G33="",$H33=""),"",IF(AND(W$5&lt;=$H33,W$5+6&gt;=$G33),"■",""))</x:f>
      </x:c>
      <x:c r="X33" s="46" t="str">
        <x:f>IF(OR($G33="",$H33=""),"",IF(AND(X$5&lt;=$H33,X$5+6&gt;=$G33),"■",""))</x:f>
      </x:c>
      <x:c r="Y33" s="46" t="str">
        <x:f>IF(OR($G33="",$H33=""),"",IF(AND(Y$5&lt;=$H33,Y$5+6&gt;=$G33),"■",""))</x:f>
      </x:c>
      <x:c r="Z33" s="46" t="str">
        <x:f>IF(OR($G33="",$H33=""),"",IF(AND(Z$5&lt;=$H33,Z$5+6&gt;=$G33),"■",""))</x:f>
      </x:c>
      <x:c r="AA33" s="46" t="str">
        <x:f>IF(OR($G33="",$H33=""),"",IF(AND(AA$5&lt;=$H33,AA$5+6&gt;=$G33),"■",""))</x:f>
      </x:c>
      <x:c r="AB33" s="46" t="str">
        <x:f>IF(OR($G33="",$H33=""),"",IF(AND(AB$5&lt;=$H33,AB$5+6&gt;=$G33),"■",""))</x:f>
      </x:c>
      <x:c r="AC33" s="46" t="str">
        <x:f>IF(OR($G33="",$H33=""),"",IF(AND(AC$5&lt;=$H33,AC$5+6&gt;=$G33),"■",""))</x:f>
      </x:c>
      <x:c r="AD33" s="46" t="str">
        <x:f>IF(OR($G33="",$H33=""),"",IF(AND(AD$5&lt;=$H33,AD$5+6&gt;=$G33),"■",""))</x:f>
      </x:c>
      <x:c r="AE33" s="46" t="str">
        <x:f>IF(OR($G33="",$H33=""),"",IF(AND(AE$5&lt;=$H33,AE$5+6&gt;=$G33),"■",""))</x:f>
      </x:c>
      <x:c r="AF33" s="46" t="str">
        <x:f>IF(OR($G33="",$H33=""),"",IF(AND(AF$5&lt;=$H33,AF$5+6&gt;=$G33),"■",""))</x:f>
      </x:c>
      <x:c r="AG33" s="46" t="str">
        <x:f>IF(OR($G33="",$H33=""),"",IF(AND(AG$5&lt;=$H33,AG$5+6&gt;=$G33),"■",""))</x:f>
      </x:c>
      <x:c r="AH33" s="46" t="str">
        <x:f>IF(OR($G33="",$H33=""),"",IF(AND(AH$5&lt;=$H33,AH$5+6&gt;=$G33),"■",""))</x:f>
      </x:c>
      <x:c r="AI33" s="46" t="str">
        <x:f>IF(OR($G33="",$H33=""),"",IF(AND(AI$5&lt;=$H33,AI$5+6&gt;=$G33),"■",""))</x:f>
      </x:c>
      <x:c r="AJ33" s="46" t="str">
        <x:f>IF(OR($G33="",$H33=""),"",IF(AND(AJ$5&lt;=$H33,AJ$5+6&gt;=$G33),"■",""))</x:f>
      </x:c>
      <x:c r="AK33" s="46" t="str">
        <x:f>IF(OR($G33="",$H33=""),"",IF(AND(AK$5&lt;=$H33,AK$5+6&gt;=$G33),"■",""))</x:f>
      </x:c>
      <x:c r="AL33" s="46" t="str">
        <x:f>IF(OR($G33="",$H33=""),"",IF(AND(AL$5&lt;=$H33,AL$5+6&gt;=$G33),"■",""))</x:f>
      </x:c>
      <x:c r="AM33" s="46" t="str">
        <x:f>IF(OR($G33="",$H33=""),"",IF(AND(AM$5&lt;=$H33,AM$5+6&gt;=$G33),"■",""))</x:f>
      </x:c>
    </x:row>
    <x:row r="34" ht="28" customHeight="1">
      <x:c r="A34" s="26" t="str">
        <x:v>ENG-R4-002</x:v>
      </x:c>
      <x:c r="B34" s="26" t="str">
        <x:v>Trash/Suppressions/Export</x:v>
      </x:c>
      <x:c r="C34" s="26" t="str">
        <x:v>Backlog</x:v>
      </x:c>
      <x:c r="D34" s="26" t="str">
        <x:v>Incomplete</x:v>
      </x:c>
      <x:c r="E34" s="26" t="str">
        <x:v>No</x:v>
      </x:c>
      <x:c r="F34" s="26" t="str">
        <x:v>R4</x:v>
      </x:c>
      <x:c r="G34" s="35" t="n">
        <x:v>46335</x:v>
      </x:c>
      <x:c r="H34" s="35" t="n">
        <x:v>46344</x:v>
      </x:c>
      <x:c r="I34" s="46" t="str">
        <x:f>IF(OR($G34="",$H34=""),"",IF(AND(I$5&lt;=$H34,I$5+6&gt;=$G34),"■",""))</x:f>
      </x:c>
      <x:c r="J34" s="46" t="str">
        <x:f>IF(OR($G34="",$H34=""),"",IF(AND(J$5&lt;=$H34,J$5+6&gt;=$G34),"■",""))</x:f>
      </x:c>
      <x:c r="K34" s="46" t="str">
        <x:f>IF(OR($G34="",$H34=""),"",IF(AND(K$5&lt;=$H34,K$5+6&gt;=$G34),"■",""))</x:f>
      </x:c>
      <x:c r="L34" s="46" t="str">
        <x:f>IF(OR($G34="",$H34=""),"",IF(AND(L$5&lt;=$H34,L$5+6&gt;=$G34),"■",""))</x:f>
      </x:c>
      <x:c r="M34" s="46" t="str">
        <x:f>IF(OR($G34="",$H34=""),"",IF(AND(M$5&lt;=$H34,M$5+6&gt;=$G34),"■",""))</x:f>
      </x:c>
      <x:c r="N34" s="46" t="str">
        <x:f>IF(OR($G34="",$H34=""),"",IF(AND(N$5&lt;=$H34,N$5+6&gt;=$G34),"■",""))</x:f>
      </x:c>
      <x:c r="O34" s="46" t="str">
        <x:f>IF(OR($G34="",$H34=""),"",IF(AND(O$5&lt;=$H34,O$5+6&gt;=$G34),"■",""))</x:f>
      </x:c>
      <x:c r="P34" s="46" t="str">
        <x:f>IF(OR($G34="",$H34=""),"",IF(AND(P$5&lt;=$H34,P$5+6&gt;=$G34),"■",""))</x:f>
      </x:c>
      <x:c r="Q34" s="46" t="str">
        <x:f>IF(OR($G34="",$H34=""),"",IF(AND(Q$5&lt;=$H34,Q$5+6&gt;=$G34),"■",""))</x:f>
      </x:c>
      <x:c r="R34" s="46" t="str">
        <x:f>IF(OR($G34="",$H34=""),"",IF(AND(R$5&lt;=$H34,R$5+6&gt;=$G34),"■",""))</x:f>
      </x:c>
      <x:c r="S34" s="46" t="str">
        <x:f>IF(OR($G34="",$H34=""),"",IF(AND(S$5&lt;=$H34,S$5+6&gt;=$G34),"■",""))</x:f>
      </x:c>
      <x:c r="T34" s="46" t="str">
        <x:f>IF(OR($G34="",$H34=""),"",IF(AND(T$5&lt;=$H34,T$5+6&gt;=$G34),"■",""))</x:f>
      </x:c>
      <x:c r="U34" s="46" t="str">
        <x:f>IF(OR($G34="",$H34=""),"",IF(AND(U$5&lt;=$H34,U$5+6&gt;=$G34),"■",""))</x:f>
        <x:v>■</x:v>
      </x:c>
      <x:c r="V34" s="46" t="str">
        <x:f>IF(OR($G34="",$H34=""),"",IF(AND(V$5&lt;=$H34,V$5+6&gt;=$G34),"■",""))</x:f>
        <x:v>■</x:v>
      </x:c>
      <x:c r="W34" s="46" t="str">
        <x:f>IF(OR($G34="",$H34=""),"",IF(AND(W$5&lt;=$H34,W$5+6&gt;=$G34),"■",""))</x:f>
      </x:c>
      <x:c r="X34" s="46" t="str">
        <x:f>IF(OR($G34="",$H34=""),"",IF(AND(X$5&lt;=$H34,X$5+6&gt;=$G34),"■",""))</x:f>
      </x:c>
      <x:c r="Y34" s="46" t="str">
        <x:f>IF(OR($G34="",$H34=""),"",IF(AND(Y$5&lt;=$H34,Y$5+6&gt;=$G34),"■",""))</x:f>
      </x:c>
      <x:c r="Z34" s="46" t="str">
        <x:f>IF(OR($G34="",$H34=""),"",IF(AND(Z$5&lt;=$H34,Z$5+6&gt;=$G34),"■",""))</x:f>
      </x:c>
      <x:c r="AA34" s="46" t="str">
        <x:f>IF(OR($G34="",$H34=""),"",IF(AND(AA$5&lt;=$H34,AA$5+6&gt;=$G34),"■",""))</x:f>
      </x:c>
      <x:c r="AB34" s="46" t="str">
        <x:f>IF(OR($G34="",$H34=""),"",IF(AND(AB$5&lt;=$H34,AB$5+6&gt;=$G34),"■",""))</x:f>
      </x:c>
      <x:c r="AC34" s="46" t="str">
        <x:f>IF(OR($G34="",$H34=""),"",IF(AND(AC$5&lt;=$H34,AC$5+6&gt;=$G34),"■",""))</x:f>
      </x:c>
      <x:c r="AD34" s="46" t="str">
        <x:f>IF(OR($G34="",$H34=""),"",IF(AND(AD$5&lt;=$H34,AD$5+6&gt;=$G34),"■",""))</x:f>
      </x:c>
      <x:c r="AE34" s="46" t="str">
        <x:f>IF(OR($G34="",$H34=""),"",IF(AND(AE$5&lt;=$H34,AE$5+6&gt;=$G34),"■",""))</x:f>
      </x:c>
      <x:c r="AF34" s="46" t="str">
        <x:f>IF(OR($G34="",$H34=""),"",IF(AND(AF$5&lt;=$H34,AF$5+6&gt;=$G34),"■",""))</x:f>
      </x:c>
      <x:c r="AG34" s="46" t="str">
        <x:f>IF(OR($G34="",$H34=""),"",IF(AND(AG$5&lt;=$H34,AG$5+6&gt;=$G34),"■",""))</x:f>
      </x:c>
      <x:c r="AH34" s="46" t="str">
        <x:f>IF(OR($G34="",$H34=""),"",IF(AND(AH$5&lt;=$H34,AH$5+6&gt;=$G34),"■",""))</x:f>
      </x:c>
      <x:c r="AI34" s="46" t="str">
        <x:f>IF(OR($G34="",$H34=""),"",IF(AND(AI$5&lt;=$H34,AI$5+6&gt;=$G34),"■",""))</x:f>
      </x:c>
      <x:c r="AJ34" s="46" t="str">
        <x:f>IF(OR($G34="",$H34=""),"",IF(AND(AJ$5&lt;=$H34,AJ$5+6&gt;=$G34),"■",""))</x:f>
      </x:c>
      <x:c r="AK34" s="46" t="str">
        <x:f>IF(OR($G34="",$H34=""),"",IF(AND(AK$5&lt;=$H34,AK$5+6&gt;=$G34),"■",""))</x:f>
      </x:c>
      <x:c r="AL34" s="46" t="str">
        <x:f>IF(OR($G34="",$H34=""),"",IF(AND(AL$5&lt;=$H34,AL$5+6&gt;=$G34),"■",""))</x:f>
      </x:c>
      <x:c r="AM34" s="46" t="str">
        <x:f>IF(OR($G34="",$H34=""),"",IF(AND(AM$5&lt;=$H34,AM$5+6&gt;=$G34),"■",""))</x:f>
      </x:c>
    </x:row>
    <x:row r="35" ht="28" customHeight="1">
      <x:c r="A35" s="26" t="str">
        <x:v>REL-R4-001</x:v>
      </x:c>
      <x:c r="B35" s="26" t="str">
        <x:v>Lifecycle/Export Restore Acceptance</x:v>
      </x:c>
      <x:c r="C35" s="26" t="str">
        <x:v>Backlog</x:v>
      </x:c>
      <x:c r="D35" s="26" t="str">
        <x:v>Incomplete</x:v>
      </x:c>
      <x:c r="E35" s="26" t="str">
        <x:v>No</x:v>
      </x:c>
      <x:c r="F35" s="26" t="str">
        <x:v>R4</x:v>
      </x:c>
      <x:c r="G35" s="35" t="n">
        <x:v>46345</x:v>
      </x:c>
      <x:c r="H35" s="35" t="n">
        <x:v>46346</x:v>
      </x:c>
      <x:c r="I35" s="46" t="str">
        <x:f>IF(OR($G35="",$H35=""),"",IF(AND(I$5&lt;=$H35,I$5+6&gt;=$G35),"■",""))</x:f>
      </x:c>
      <x:c r="J35" s="46" t="str">
        <x:f>IF(OR($G35="",$H35=""),"",IF(AND(J$5&lt;=$H35,J$5+6&gt;=$G35),"■",""))</x:f>
      </x:c>
      <x:c r="K35" s="46" t="str">
        <x:f>IF(OR($G35="",$H35=""),"",IF(AND(K$5&lt;=$H35,K$5+6&gt;=$G35),"■",""))</x:f>
      </x:c>
      <x:c r="L35" s="46" t="str">
        <x:f>IF(OR($G35="",$H35=""),"",IF(AND(L$5&lt;=$H35,L$5+6&gt;=$G35),"■",""))</x:f>
      </x:c>
      <x:c r="M35" s="46" t="str">
        <x:f>IF(OR($G35="",$H35=""),"",IF(AND(M$5&lt;=$H35,M$5+6&gt;=$G35),"■",""))</x:f>
      </x:c>
      <x:c r="N35" s="46" t="str">
        <x:f>IF(OR($G35="",$H35=""),"",IF(AND(N$5&lt;=$H35,N$5+6&gt;=$G35),"■",""))</x:f>
      </x:c>
      <x:c r="O35" s="46" t="str">
        <x:f>IF(OR($G35="",$H35=""),"",IF(AND(O$5&lt;=$H35,O$5+6&gt;=$G35),"■",""))</x:f>
      </x:c>
      <x:c r="P35" s="46" t="str">
        <x:f>IF(OR($G35="",$H35=""),"",IF(AND(P$5&lt;=$H35,P$5+6&gt;=$G35),"■",""))</x:f>
      </x:c>
      <x:c r="Q35" s="46" t="str">
        <x:f>IF(OR($G35="",$H35=""),"",IF(AND(Q$5&lt;=$H35,Q$5+6&gt;=$G35),"■",""))</x:f>
      </x:c>
      <x:c r="R35" s="46" t="str">
        <x:f>IF(OR($G35="",$H35=""),"",IF(AND(R$5&lt;=$H35,R$5+6&gt;=$G35),"■",""))</x:f>
      </x:c>
      <x:c r="S35" s="46" t="str">
        <x:f>IF(OR($G35="",$H35=""),"",IF(AND(S$5&lt;=$H35,S$5+6&gt;=$G35),"■",""))</x:f>
      </x:c>
      <x:c r="T35" s="46" t="str">
        <x:f>IF(OR($G35="",$H35=""),"",IF(AND(T$5&lt;=$H35,T$5+6&gt;=$G35),"■",""))</x:f>
      </x:c>
      <x:c r="U35" s="46" t="str">
        <x:f>IF(OR($G35="",$H35=""),"",IF(AND(U$5&lt;=$H35,U$5+6&gt;=$G35),"■",""))</x:f>
      </x:c>
      <x:c r="V35" s="46" t="str">
        <x:f>IF(OR($G35="",$H35=""),"",IF(AND(V$5&lt;=$H35,V$5+6&gt;=$G35),"■",""))</x:f>
        <x:v>■</x:v>
      </x:c>
      <x:c r="W35" s="46" t="str">
        <x:f>IF(OR($G35="",$H35=""),"",IF(AND(W$5&lt;=$H35,W$5+6&gt;=$G35),"■",""))</x:f>
      </x:c>
      <x:c r="X35" s="46" t="str">
        <x:f>IF(OR($G35="",$H35=""),"",IF(AND(X$5&lt;=$H35,X$5+6&gt;=$G35),"■",""))</x:f>
      </x:c>
      <x:c r="Y35" s="46" t="str">
        <x:f>IF(OR($G35="",$H35=""),"",IF(AND(Y$5&lt;=$H35,Y$5+6&gt;=$G35),"■",""))</x:f>
      </x:c>
      <x:c r="Z35" s="46" t="str">
        <x:f>IF(OR($G35="",$H35=""),"",IF(AND(Z$5&lt;=$H35,Z$5+6&gt;=$G35),"■",""))</x:f>
      </x:c>
      <x:c r="AA35" s="46" t="str">
        <x:f>IF(OR($G35="",$H35=""),"",IF(AND(AA$5&lt;=$H35,AA$5+6&gt;=$G35),"■",""))</x:f>
      </x:c>
      <x:c r="AB35" s="46" t="str">
        <x:f>IF(OR($G35="",$H35=""),"",IF(AND(AB$5&lt;=$H35,AB$5+6&gt;=$G35),"■",""))</x:f>
      </x:c>
      <x:c r="AC35" s="46" t="str">
        <x:f>IF(OR($G35="",$H35=""),"",IF(AND(AC$5&lt;=$H35,AC$5+6&gt;=$G35),"■",""))</x:f>
      </x:c>
      <x:c r="AD35" s="46" t="str">
        <x:f>IF(OR($G35="",$H35=""),"",IF(AND(AD$5&lt;=$H35,AD$5+6&gt;=$G35),"■",""))</x:f>
      </x:c>
      <x:c r="AE35" s="46" t="str">
        <x:f>IF(OR($G35="",$H35=""),"",IF(AND(AE$5&lt;=$H35,AE$5+6&gt;=$G35),"■",""))</x:f>
      </x:c>
      <x:c r="AF35" s="46" t="str">
        <x:f>IF(OR($G35="",$H35=""),"",IF(AND(AF$5&lt;=$H35,AF$5+6&gt;=$G35),"■",""))</x:f>
      </x:c>
      <x:c r="AG35" s="46" t="str">
        <x:f>IF(OR($G35="",$H35=""),"",IF(AND(AG$5&lt;=$H35,AG$5+6&gt;=$G35),"■",""))</x:f>
      </x:c>
      <x:c r="AH35" s="46" t="str">
        <x:f>IF(OR($G35="",$H35=""),"",IF(AND(AH$5&lt;=$H35,AH$5+6&gt;=$G35),"■",""))</x:f>
      </x:c>
      <x:c r="AI35" s="46" t="str">
        <x:f>IF(OR($G35="",$H35=""),"",IF(AND(AI$5&lt;=$H35,AI$5+6&gt;=$G35),"■",""))</x:f>
      </x:c>
      <x:c r="AJ35" s="46" t="str">
        <x:f>IF(OR($G35="",$H35=""),"",IF(AND(AJ$5&lt;=$H35,AJ$5+6&gt;=$G35),"■",""))</x:f>
      </x:c>
      <x:c r="AK35" s="46" t="str">
        <x:f>IF(OR($G35="",$H35=""),"",IF(AND(AK$5&lt;=$H35,AK$5+6&gt;=$G35),"■",""))</x:f>
      </x:c>
      <x:c r="AL35" s="46" t="str">
        <x:f>IF(OR($G35="",$H35=""),"",IF(AND(AL$5&lt;=$H35,AL$5+6&gt;=$G35),"■",""))</x:f>
      </x:c>
      <x:c r="AM35" s="46" t="str">
        <x:f>IF(OR($G35="",$H35=""),"",IF(AND(AM$5&lt;=$H35,AM$5+6&gt;=$G35),"■",""))</x:f>
      </x:c>
    </x:row>
    <x:row r="36" ht="28" customHeight="1">
      <x:c r="A36" s="26" t="str">
        <x:v>SPK-R5-001</x:v>
      </x:c>
      <x:c r="B36" s="26" t="str">
        <x:v>VoiceNotes Synthetic Contract Spike</x:v>
      </x:c>
      <x:c r="C36" s="26" t="str">
        <x:v>Backlog</x:v>
      </x:c>
      <x:c r="D36" s="26" t="str">
        <x:v>Incomplete</x:v>
      </x:c>
      <x:c r="E36" s="26" t="str">
        <x:v>No</x:v>
      </x:c>
      <x:c r="F36" s="26" t="str">
        <x:v>R5</x:v>
      </x:c>
      <x:c r="G36" s="35" t="n">
        <x:v>46349</x:v>
      </x:c>
      <x:c r="H36" s="35" t="n">
        <x:v>46351</x:v>
      </x:c>
      <x:c r="I36" s="46" t="str">
        <x:f>IF(OR($G36="",$H36=""),"",IF(AND(I$5&lt;=$H36,I$5+6&gt;=$G36),"■",""))</x:f>
      </x:c>
      <x:c r="J36" s="46" t="str">
        <x:f>IF(OR($G36="",$H36=""),"",IF(AND(J$5&lt;=$H36,J$5+6&gt;=$G36),"■",""))</x:f>
      </x:c>
      <x:c r="K36" s="46" t="str">
        <x:f>IF(OR($G36="",$H36=""),"",IF(AND(K$5&lt;=$H36,K$5+6&gt;=$G36),"■",""))</x:f>
      </x:c>
      <x:c r="L36" s="46" t="str">
        <x:f>IF(OR($G36="",$H36=""),"",IF(AND(L$5&lt;=$H36,L$5+6&gt;=$G36),"■",""))</x:f>
      </x:c>
      <x:c r="M36" s="46" t="str">
        <x:f>IF(OR($G36="",$H36=""),"",IF(AND(M$5&lt;=$H36,M$5+6&gt;=$G36),"■",""))</x:f>
      </x:c>
      <x:c r="N36" s="46" t="str">
        <x:f>IF(OR($G36="",$H36=""),"",IF(AND(N$5&lt;=$H36,N$5+6&gt;=$G36),"■",""))</x:f>
      </x:c>
      <x:c r="O36" s="46" t="str">
        <x:f>IF(OR($G36="",$H36=""),"",IF(AND(O$5&lt;=$H36,O$5+6&gt;=$G36),"■",""))</x:f>
      </x:c>
      <x:c r="P36" s="46" t="str">
        <x:f>IF(OR($G36="",$H36=""),"",IF(AND(P$5&lt;=$H36,P$5+6&gt;=$G36),"■",""))</x:f>
      </x:c>
      <x:c r="Q36" s="46" t="str">
        <x:f>IF(OR($G36="",$H36=""),"",IF(AND(Q$5&lt;=$H36,Q$5+6&gt;=$G36),"■",""))</x:f>
      </x:c>
      <x:c r="R36" s="46" t="str">
        <x:f>IF(OR($G36="",$H36=""),"",IF(AND(R$5&lt;=$H36,R$5+6&gt;=$G36),"■",""))</x:f>
      </x:c>
      <x:c r="S36" s="46" t="str">
        <x:f>IF(OR($G36="",$H36=""),"",IF(AND(S$5&lt;=$H36,S$5+6&gt;=$G36),"■",""))</x:f>
      </x:c>
      <x:c r="T36" s="46" t="str">
        <x:f>IF(OR($G36="",$H36=""),"",IF(AND(T$5&lt;=$H36,T$5+6&gt;=$G36),"■",""))</x:f>
      </x:c>
      <x:c r="U36" s="46" t="str">
        <x:f>IF(OR($G36="",$H36=""),"",IF(AND(U$5&lt;=$H36,U$5+6&gt;=$G36),"■",""))</x:f>
      </x:c>
      <x:c r="V36" s="46" t="str">
        <x:f>IF(OR($G36="",$H36=""),"",IF(AND(V$5&lt;=$H36,V$5+6&gt;=$G36),"■",""))</x:f>
      </x:c>
      <x:c r="W36" s="46" t="str">
        <x:f>IF(OR($G36="",$H36=""),"",IF(AND(W$5&lt;=$H36,W$5+6&gt;=$G36),"■",""))</x:f>
        <x:v>■</x:v>
      </x:c>
      <x:c r="X36" s="46" t="str">
        <x:f>IF(OR($G36="",$H36=""),"",IF(AND(X$5&lt;=$H36,X$5+6&gt;=$G36),"■",""))</x:f>
      </x:c>
      <x:c r="Y36" s="46" t="str">
        <x:f>IF(OR($G36="",$H36=""),"",IF(AND(Y$5&lt;=$H36,Y$5+6&gt;=$G36),"■",""))</x:f>
      </x:c>
      <x:c r="Z36" s="46" t="str">
        <x:f>IF(OR($G36="",$H36=""),"",IF(AND(Z$5&lt;=$H36,Z$5+6&gt;=$G36),"■",""))</x:f>
      </x:c>
      <x:c r="AA36" s="46" t="str">
        <x:f>IF(OR($G36="",$H36=""),"",IF(AND(AA$5&lt;=$H36,AA$5+6&gt;=$G36),"■",""))</x:f>
      </x:c>
      <x:c r="AB36" s="46" t="str">
        <x:f>IF(OR($G36="",$H36=""),"",IF(AND(AB$5&lt;=$H36,AB$5+6&gt;=$G36),"■",""))</x:f>
      </x:c>
      <x:c r="AC36" s="46" t="str">
        <x:f>IF(OR($G36="",$H36=""),"",IF(AND(AC$5&lt;=$H36,AC$5+6&gt;=$G36),"■",""))</x:f>
      </x:c>
      <x:c r="AD36" s="46" t="str">
        <x:f>IF(OR($G36="",$H36=""),"",IF(AND(AD$5&lt;=$H36,AD$5+6&gt;=$G36),"■",""))</x:f>
      </x:c>
      <x:c r="AE36" s="46" t="str">
        <x:f>IF(OR($G36="",$H36=""),"",IF(AND(AE$5&lt;=$H36,AE$5+6&gt;=$G36),"■",""))</x:f>
      </x:c>
      <x:c r="AF36" s="46" t="str">
        <x:f>IF(OR($G36="",$H36=""),"",IF(AND(AF$5&lt;=$H36,AF$5+6&gt;=$G36),"■",""))</x:f>
      </x:c>
      <x:c r="AG36" s="46" t="str">
        <x:f>IF(OR($G36="",$H36=""),"",IF(AND(AG$5&lt;=$H36,AG$5+6&gt;=$G36),"■",""))</x:f>
      </x:c>
      <x:c r="AH36" s="46" t="str">
        <x:f>IF(OR($G36="",$H36=""),"",IF(AND(AH$5&lt;=$H36,AH$5+6&gt;=$G36),"■",""))</x:f>
      </x:c>
      <x:c r="AI36" s="46" t="str">
        <x:f>IF(OR($G36="",$H36=""),"",IF(AND(AI$5&lt;=$H36,AI$5+6&gt;=$G36),"■",""))</x:f>
      </x:c>
      <x:c r="AJ36" s="46" t="str">
        <x:f>IF(OR($G36="",$H36=""),"",IF(AND(AJ$5&lt;=$H36,AJ$5+6&gt;=$G36),"■",""))</x:f>
      </x:c>
      <x:c r="AK36" s="46" t="str">
        <x:f>IF(OR($G36="",$H36=""),"",IF(AND(AK$5&lt;=$H36,AK$5+6&gt;=$G36),"■",""))</x:f>
      </x:c>
      <x:c r="AL36" s="46" t="str">
        <x:f>IF(OR($G36="",$H36=""),"",IF(AND(AL$5&lt;=$H36,AL$5+6&gt;=$G36),"■",""))</x:f>
      </x:c>
      <x:c r="AM36" s="46" t="str">
        <x:f>IF(OR($G36="",$H36=""),"",IF(AND(AM$5&lt;=$H36,AM$5+6&gt;=$G36),"■",""))</x:f>
      </x:c>
    </x:row>
    <x:row r="37" ht="28" customHeight="1">
      <x:c r="A37" s="26" t="str">
        <x:v>PRD-R5-001</x:v>
      </x:c>
      <x:c r="B37" s="26" t="str">
        <x:v>VoiceNotes PRD</x:v>
      </x:c>
      <x:c r="C37" s="26" t="str">
        <x:v>Done</x:v>
      </x:c>
      <x:c r="D37" s="26" t="str">
        <x:v>Incomplete</x:v>
      </x:c>
      <x:c r="E37" s="26" t="str">
        <x:v>No</x:v>
      </x:c>
      <x:c r="F37" s="26" t="str">
        <x:v>R5</x:v>
      </x:c>
      <x:c r="G37" s="35" t="n">
        <x:v>46349</x:v>
      </x:c>
      <x:c r="H37" s="35" t="n">
        <x:v>46353</x:v>
      </x:c>
      <x:c r="I37" s="46" t="str">
        <x:f>IF(OR($G37="",$H37=""),"",IF(AND(I$5&lt;=$H37,I$5+6&gt;=$G37),"■",""))</x:f>
      </x:c>
      <x:c r="J37" s="46" t="str">
        <x:f>IF(OR($G37="",$H37=""),"",IF(AND(J$5&lt;=$H37,J$5+6&gt;=$G37),"■",""))</x:f>
      </x:c>
      <x:c r="K37" s="46" t="str">
        <x:f>IF(OR($G37="",$H37=""),"",IF(AND(K$5&lt;=$H37,K$5+6&gt;=$G37),"■",""))</x:f>
      </x:c>
      <x:c r="L37" s="46" t="str">
        <x:f>IF(OR($G37="",$H37=""),"",IF(AND(L$5&lt;=$H37,L$5+6&gt;=$G37),"■",""))</x:f>
      </x:c>
      <x:c r="M37" s="46" t="str">
        <x:f>IF(OR($G37="",$H37=""),"",IF(AND(M$5&lt;=$H37,M$5+6&gt;=$G37),"■",""))</x:f>
      </x:c>
      <x:c r="N37" s="46" t="str">
        <x:f>IF(OR($G37="",$H37=""),"",IF(AND(N$5&lt;=$H37,N$5+6&gt;=$G37),"■",""))</x:f>
      </x:c>
      <x:c r="O37" s="46" t="str">
        <x:f>IF(OR($G37="",$H37=""),"",IF(AND(O$5&lt;=$H37,O$5+6&gt;=$G37),"■",""))</x:f>
      </x:c>
      <x:c r="P37" s="46" t="str">
        <x:f>IF(OR($G37="",$H37=""),"",IF(AND(P$5&lt;=$H37,P$5+6&gt;=$G37),"■",""))</x:f>
      </x:c>
      <x:c r="Q37" s="46" t="str">
        <x:f>IF(OR($G37="",$H37=""),"",IF(AND(Q$5&lt;=$H37,Q$5+6&gt;=$G37),"■",""))</x:f>
      </x:c>
      <x:c r="R37" s="46" t="str">
        <x:f>IF(OR($G37="",$H37=""),"",IF(AND(R$5&lt;=$H37,R$5+6&gt;=$G37),"■",""))</x:f>
      </x:c>
      <x:c r="S37" s="46" t="str">
        <x:f>IF(OR($G37="",$H37=""),"",IF(AND(S$5&lt;=$H37,S$5+6&gt;=$G37),"■",""))</x:f>
      </x:c>
      <x:c r="T37" s="46" t="str">
        <x:f>IF(OR($G37="",$H37=""),"",IF(AND(T$5&lt;=$H37,T$5+6&gt;=$G37),"■",""))</x:f>
      </x:c>
      <x:c r="U37" s="46" t="str">
        <x:f>IF(OR($G37="",$H37=""),"",IF(AND(U$5&lt;=$H37,U$5+6&gt;=$G37),"■",""))</x:f>
      </x:c>
      <x:c r="V37" s="46" t="str">
        <x:f>IF(OR($G37="",$H37=""),"",IF(AND(V$5&lt;=$H37,V$5+6&gt;=$G37),"■",""))</x:f>
      </x:c>
      <x:c r="W37" s="46" t="str">
        <x:f>IF(OR($G37="",$H37=""),"",IF(AND(W$5&lt;=$H37,W$5+6&gt;=$G37),"■",""))</x:f>
        <x:v>■</x:v>
      </x:c>
      <x:c r="X37" s="46" t="str">
        <x:f>IF(OR($G37="",$H37=""),"",IF(AND(X$5&lt;=$H37,X$5+6&gt;=$G37),"■",""))</x:f>
      </x:c>
      <x:c r="Y37" s="46" t="str">
        <x:f>IF(OR($G37="",$H37=""),"",IF(AND(Y$5&lt;=$H37,Y$5+6&gt;=$G37),"■",""))</x:f>
      </x:c>
      <x:c r="Z37" s="46" t="str">
        <x:f>IF(OR($G37="",$H37=""),"",IF(AND(Z$5&lt;=$H37,Z$5+6&gt;=$G37),"■",""))</x:f>
      </x:c>
      <x:c r="AA37" s="46" t="str">
        <x:f>IF(OR($G37="",$H37=""),"",IF(AND(AA$5&lt;=$H37,AA$5+6&gt;=$G37),"■",""))</x:f>
      </x:c>
      <x:c r="AB37" s="46" t="str">
        <x:f>IF(OR($G37="",$H37=""),"",IF(AND(AB$5&lt;=$H37,AB$5+6&gt;=$G37),"■",""))</x:f>
      </x:c>
      <x:c r="AC37" s="46" t="str">
        <x:f>IF(OR($G37="",$H37=""),"",IF(AND(AC$5&lt;=$H37,AC$5+6&gt;=$G37),"■",""))</x:f>
      </x:c>
      <x:c r="AD37" s="46" t="str">
        <x:f>IF(OR($G37="",$H37=""),"",IF(AND(AD$5&lt;=$H37,AD$5+6&gt;=$G37),"■",""))</x:f>
      </x:c>
      <x:c r="AE37" s="46" t="str">
        <x:f>IF(OR($G37="",$H37=""),"",IF(AND(AE$5&lt;=$H37,AE$5+6&gt;=$G37),"■",""))</x:f>
      </x:c>
      <x:c r="AF37" s="46" t="str">
        <x:f>IF(OR($G37="",$H37=""),"",IF(AND(AF$5&lt;=$H37,AF$5+6&gt;=$G37),"■",""))</x:f>
      </x:c>
      <x:c r="AG37" s="46" t="str">
        <x:f>IF(OR($G37="",$H37=""),"",IF(AND(AG$5&lt;=$H37,AG$5+6&gt;=$G37),"■",""))</x:f>
      </x:c>
      <x:c r="AH37" s="46" t="str">
        <x:f>IF(OR($G37="",$H37=""),"",IF(AND(AH$5&lt;=$H37,AH$5+6&gt;=$G37),"■",""))</x:f>
      </x:c>
      <x:c r="AI37" s="46" t="str">
        <x:f>IF(OR($G37="",$H37=""),"",IF(AND(AI$5&lt;=$H37,AI$5+6&gt;=$G37),"■",""))</x:f>
      </x:c>
      <x:c r="AJ37" s="46" t="str">
        <x:f>IF(OR($G37="",$H37=""),"",IF(AND(AJ$5&lt;=$H37,AJ$5+6&gt;=$G37),"■",""))</x:f>
      </x:c>
      <x:c r="AK37" s="46" t="str">
        <x:f>IF(OR($G37="",$H37=""),"",IF(AND(AK$5&lt;=$H37,AK$5+6&gt;=$G37),"■",""))</x:f>
      </x:c>
      <x:c r="AL37" s="46" t="str">
        <x:f>IF(OR($G37="",$H37=""),"",IF(AND(AL$5&lt;=$H37,AL$5+6&gt;=$G37),"■",""))</x:f>
      </x:c>
      <x:c r="AM37" s="46" t="str">
        <x:f>IF(OR($G37="",$H37=""),"",IF(AND(AM$5&lt;=$H37,AM$5+6&gt;=$G37),"■",""))</x:f>
      </x:c>
    </x:row>
    <x:row r="38" ht="28" customHeight="1">
      <x:c r="A38" s="26" t="str">
        <x:v>UX-R5-001</x:v>
      </x:c>
      <x:c r="B38" s="26" t="str">
        <x:v>Integration/Reconciliation/Lifecycle Designs</x:v>
      </x:c>
      <x:c r="C38" s="26" t="str">
        <x:v>Backlog</x:v>
      </x:c>
      <x:c r="D38" s="26" t="str">
        <x:v>Incomplete</x:v>
      </x:c>
      <x:c r="E38" s="26" t="str">
        <x:v>No</x:v>
      </x:c>
      <x:c r="F38" s="26" t="str">
        <x:v>R5</x:v>
      </x:c>
      <x:c r="G38" s="35" t="n">
        <x:v>46350</x:v>
      </x:c>
      <x:c r="H38" s="35" t="n">
        <x:v>46353</x:v>
      </x:c>
      <x:c r="I38" s="46" t="str">
        <x:f>IF(OR($G38="",$H38=""),"",IF(AND(I$5&lt;=$H38,I$5+6&gt;=$G38),"■",""))</x:f>
      </x:c>
      <x:c r="J38" s="46" t="str">
        <x:f>IF(OR($G38="",$H38=""),"",IF(AND(J$5&lt;=$H38,J$5+6&gt;=$G38),"■",""))</x:f>
      </x:c>
      <x:c r="K38" s="46" t="str">
        <x:f>IF(OR($G38="",$H38=""),"",IF(AND(K$5&lt;=$H38,K$5+6&gt;=$G38),"■",""))</x:f>
      </x:c>
      <x:c r="L38" s="46" t="str">
        <x:f>IF(OR($G38="",$H38=""),"",IF(AND(L$5&lt;=$H38,L$5+6&gt;=$G38),"■",""))</x:f>
      </x:c>
      <x:c r="M38" s="46" t="str">
        <x:f>IF(OR($G38="",$H38=""),"",IF(AND(M$5&lt;=$H38,M$5+6&gt;=$G38),"■",""))</x:f>
      </x:c>
      <x:c r="N38" s="46" t="str">
        <x:f>IF(OR($G38="",$H38=""),"",IF(AND(N$5&lt;=$H38,N$5+6&gt;=$G38),"■",""))</x:f>
      </x:c>
      <x:c r="O38" s="46" t="str">
        <x:f>IF(OR($G38="",$H38=""),"",IF(AND(O$5&lt;=$H38,O$5+6&gt;=$G38),"■",""))</x:f>
      </x:c>
      <x:c r="P38" s="46" t="str">
        <x:f>IF(OR($G38="",$H38=""),"",IF(AND(P$5&lt;=$H38,P$5+6&gt;=$G38),"■",""))</x:f>
      </x:c>
      <x:c r="Q38" s="46" t="str">
        <x:f>IF(OR($G38="",$H38=""),"",IF(AND(Q$5&lt;=$H38,Q$5+6&gt;=$G38),"■",""))</x:f>
      </x:c>
      <x:c r="R38" s="46" t="str">
        <x:f>IF(OR($G38="",$H38=""),"",IF(AND(R$5&lt;=$H38,R$5+6&gt;=$G38),"■",""))</x:f>
      </x:c>
      <x:c r="S38" s="46" t="str">
        <x:f>IF(OR($G38="",$H38=""),"",IF(AND(S$5&lt;=$H38,S$5+6&gt;=$G38),"■",""))</x:f>
      </x:c>
      <x:c r="T38" s="46" t="str">
        <x:f>IF(OR($G38="",$H38=""),"",IF(AND(T$5&lt;=$H38,T$5+6&gt;=$G38),"■",""))</x:f>
      </x:c>
      <x:c r="U38" s="46" t="str">
        <x:f>IF(OR($G38="",$H38=""),"",IF(AND(U$5&lt;=$H38,U$5+6&gt;=$G38),"■",""))</x:f>
      </x:c>
      <x:c r="V38" s="46" t="str">
        <x:f>IF(OR($G38="",$H38=""),"",IF(AND(V$5&lt;=$H38,V$5+6&gt;=$G38),"■",""))</x:f>
      </x:c>
      <x:c r="W38" s="46" t="str">
        <x:f>IF(OR($G38="",$H38=""),"",IF(AND(W$5&lt;=$H38,W$5+6&gt;=$G38),"■",""))</x:f>
        <x:v>■</x:v>
      </x:c>
      <x:c r="X38" s="46" t="str">
        <x:f>IF(OR($G38="",$H38=""),"",IF(AND(X$5&lt;=$H38,X$5+6&gt;=$G38),"■",""))</x:f>
      </x:c>
      <x:c r="Y38" s="46" t="str">
        <x:f>IF(OR($G38="",$H38=""),"",IF(AND(Y$5&lt;=$H38,Y$5+6&gt;=$G38),"■",""))</x:f>
      </x:c>
      <x:c r="Z38" s="46" t="str">
        <x:f>IF(OR($G38="",$H38=""),"",IF(AND(Z$5&lt;=$H38,Z$5+6&gt;=$G38),"■",""))</x:f>
      </x:c>
      <x:c r="AA38" s="46" t="str">
        <x:f>IF(OR($G38="",$H38=""),"",IF(AND(AA$5&lt;=$H38,AA$5+6&gt;=$G38),"■",""))</x:f>
      </x:c>
      <x:c r="AB38" s="46" t="str">
        <x:f>IF(OR($G38="",$H38=""),"",IF(AND(AB$5&lt;=$H38,AB$5+6&gt;=$G38),"■",""))</x:f>
      </x:c>
      <x:c r="AC38" s="46" t="str">
        <x:f>IF(OR($G38="",$H38=""),"",IF(AND(AC$5&lt;=$H38,AC$5+6&gt;=$G38),"■",""))</x:f>
      </x:c>
      <x:c r="AD38" s="46" t="str">
        <x:f>IF(OR($G38="",$H38=""),"",IF(AND(AD$5&lt;=$H38,AD$5+6&gt;=$G38),"■",""))</x:f>
      </x:c>
      <x:c r="AE38" s="46" t="str">
        <x:f>IF(OR($G38="",$H38=""),"",IF(AND(AE$5&lt;=$H38,AE$5+6&gt;=$G38),"■",""))</x:f>
      </x:c>
      <x:c r="AF38" s="46" t="str">
        <x:f>IF(OR($G38="",$H38=""),"",IF(AND(AF$5&lt;=$H38,AF$5+6&gt;=$G38),"■",""))</x:f>
      </x:c>
      <x:c r="AG38" s="46" t="str">
        <x:f>IF(OR($G38="",$H38=""),"",IF(AND(AG$5&lt;=$H38,AG$5+6&gt;=$G38),"■",""))</x:f>
      </x:c>
      <x:c r="AH38" s="46" t="str">
        <x:f>IF(OR($G38="",$H38=""),"",IF(AND(AH$5&lt;=$H38,AH$5+6&gt;=$G38),"■",""))</x:f>
      </x:c>
      <x:c r="AI38" s="46" t="str">
        <x:f>IF(OR($G38="",$H38=""),"",IF(AND(AI$5&lt;=$H38,AI$5+6&gt;=$G38),"■",""))</x:f>
      </x:c>
      <x:c r="AJ38" s="46" t="str">
        <x:f>IF(OR($G38="",$H38=""),"",IF(AND(AJ$5&lt;=$H38,AJ$5+6&gt;=$G38),"■",""))</x:f>
      </x:c>
      <x:c r="AK38" s="46" t="str">
        <x:f>IF(OR($G38="",$H38=""),"",IF(AND(AK$5&lt;=$H38,AK$5+6&gt;=$G38),"■",""))</x:f>
      </x:c>
      <x:c r="AL38" s="46" t="str">
        <x:f>IF(OR($G38="",$H38=""),"",IF(AND(AL$5&lt;=$H38,AL$5+6&gt;=$G38),"■",""))</x:f>
      </x:c>
      <x:c r="AM38" s="46" t="str">
        <x:f>IF(OR($G38="",$H38=""),"",IF(AND(AM$5&lt;=$H38,AM$5+6&gt;=$G38),"■",""))</x:f>
      </x:c>
    </x:row>
    <x:row r="39" ht="28" customHeight="1">
      <x:c r="A39" s="26" t="str">
        <x:v>ARCH-R5-001</x:v>
      </x:c>
      <x:c r="B39" s="26" t="str">
        <x:v>VoiceNotes Adapter &amp; Reconciliation Contract</x:v>
      </x:c>
      <x:c r="C39" s="26" t="str">
        <x:v>Backlog</x:v>
      </x:c>
      <x:c r="D39" s="26" t="str">
        <x:v>Incomplete</x:v>
      </x:c>
      <x:c r="E39" s="26" t="str">
        <x:v>No</x:v>
      </x:c>
      <x:c r="F39" s="26" t="str">
        <x:v>R5</x:v>
      </x:c>
      <x:c r="G39" s="35" t="n">
        <x:v>46350</x:v>
      </x:c>
      <x:c r="H39" s="35" t="n">
        <x:v>46353</x:v>
      </x:c>
      <x:c r="I39" s="46" t="str">
        <x:f>IF(OR($G39="",$H39=""),"",IF(AND(I$5&lt;=$H39,I$5+6&gt;=$G39),"■",""))</x:f>
      </x:c>
      <x:c r="J39" s="46" t="str">
        <x:f>IF(OR($G39="",$H39=""),"",IF(AND(J$5&lt;=$H39,J$5+6&gt;=$G39),"■",""))</x:f>
      </x:c>
      <x:c r="K39" s="46" t="str">
        <x:f>IF(OR($G39="",$H39=""),"",IF(AND(K$5&lt;=$H39,K$5+6&gt;=$G39),"■",""))</x:f>
      </x:c>
      <x:c r="L39" s="46" t="str">
        <x:f>IF(OR($G39="",$H39=""),"",IF(AND(L$5&lt;=$H39,L$5+6&gt;=$G39),"■",""))</x:f>
      </x:c>
      <x:c r="M39" s="46" t="str">
        <x:f>IF(OR($G39="",$H39=""),"",IF(AND(M$5&lt;=$H39,M$5+6&gt;=$G39),"■",""))</x:f>
      </x:c>
      <x:c r="N39" s="46" t="str">
        <x:f>IF(OR($G39="",$H39=""),"",IF(AND(N$5&lt;=$H39,N$5+6&gt;=$G39),"■",""))</x:f>
      </x:c>
      <x:c r="O39" s="46" t="str">
        <x:f>IF(OR($G39="",$H39=""),"",IF(AND(O$5&lt;=$H39,O$5+6&gt;=$G39),"■",""))</x:f>
      </x:c>
      <x:c r="P39" s="46" t="str">
        <x:f>IF(OR($G39="",$H39=""),"",IF(AND(P$5&lt;=$H39,P$5+6&gt;=$G39),"■",""))</x:f>
      </x:c>
      <x:c r="Q39" s="46" t="str">
        <x:f>IF(OR($G39="",$H39=""),"",IF(AND(Q$5&lt;=$H39,Q$5+6&gt;=$G39),"■",""))</x:f>
      </x:c>
      <x:c r="R39" s="46" t="str">
        <x:f>IF(OR($G39="",$H39=""),"",IF(AND(R$5&lt;=$H39,R$5+6&gt;=$G39),"■",""))</x:f>
      </x:c>
      <x:c r="S39" s="46" t="str">
        <x:f>IF(OR($G39="",$H39=""),"",IF(AND(S$5&lt;=$H39,S$5+6&gt;=$G39),"■",""))</x:f>
      </x:c>
      <x:c r="T39" s="46" t="str">
        <x:f>IF(OR($G39="",$H39=""),"",IF(AND(T$5&lt;=$H39,T$5+6&gt;=$G39),"■",""))</x:f>
      </x:c>
      <x:c r="U39" s="46" t="str">
        <x:f>IF(OR($G39="",$H39=""),"",IF(AND(U$5&lt;=$H39,U$5+6&gt;=$G39),"■",""))</x:f>
      </x:c>
      <x:c r="V39" s="46" t="str">
        <x:f>IF(OR($G39="",$H39=""),"",IF(AND(V$5&lt;=$H39,V$5+6&gt;=$G39),"■",""))</x:f>
      </x:c>
      <x:c r="W39" s="46" t="str">
        <x:f>IF(OR($G39="",$H39=""),"",IF(AND(W$5&lt;=$H39,W$5+6&gt;=$G39),"■",""))</x:f>
        <x:v>■</x:v>
      </x:c>
      <x:c r="X39" s="46" t="str">
        <x:f>IF(OR($G39="",$H39=""),"",IF(AND(X$5&lt;=$H39,X$5+6&gt;=$G39),"■",""))</x:f>
      </x:c>
      <x:c r="Y39" s="46" t="str">
        <x:f>IF(OR($G39="",$H39=""),"",IF(AND(Y$5&lt;=$H39,Y$5+6&gt;=$G39),"■",""))</x:f>
      </x:c>
      <x:c r="Z39" s="46" t="str">
        <x:f>IF(OR($G39="",$H39=""),"",IF(AND(Z$5&lt;=$H39,Z$5+6&gt;=$G39),"■",""))</x:f>
      </x:c>
      <x:c r="AA39" s="46" t="str">
        <x:f>IF(OR($G39="",$H39=""),"",IF(AND(AA$5&lt;=$H39,AA$5+6&gt;=$G39),"■",""))</x:f>
      </x:c>
      <x:c r="AB39" s="46" t="str">
        <x:f>IF(OR($G39="",$H39=""),"",IF(AND(AB$5&lt;=$H39,AB$5+6&gt;=$G39),"■",""))</x:f>
      </x:c>
      <x:c r="AC39" s="46" t="str">
        <x:f>IF(OR($G39="",$H39=""),"",IF(AND(AC$5&lt;=$H39,AC$5+6&gt;=$G39),"■",""))</x:f>
      </x:c>
      <x:c r="AD39" s="46" t="str">
        <x:f>IF(OR($G39="",$H39=""),"",IF(AND(AD$5&lt;=$H39,AD$5+6&gt;=$G39),"■",""))</x:f>
      </x:c>
      <x:c r="AE39" s="46" t="str">
        <x:f>IF(OR($G39="",$H39=""),"",IF(AND(AE$5&lt;=$H39,AE$5+6&gt;=$G39),"■",""))</x:f>
      </x:c>
      <x:c r="AF39" s="46" t="str">
        <x:f>IF(OR($G39="",$H39=""),"",IF(AND(AF$5&lt;=$H39,AF$5+6&gt;=$G39),"■",""))</x:f>
      </x:c>
      <x:c r="AG39" s="46" t="str">
        <x:f>IF(OR($G39="",$H39=""),"",IF(AND(AG$5&lt;=$H39,AG$5+6&gt;=$G39),"■",""))</x:f>
      </x:c>
      <x:c r="AH39" s="46" t="str">
        <x:f>IF(OR($G39="",$H39=""),"",IF(AND(AH$5&lt;=$H39,AH$5+6&gt;=$G39),"■",""))</x:f>
      </x:c>
      <x:c r="AI39" s="46" t="str">
        <x:f>IF(OR($G39="",$H39=""),"",IF(AND(AI$5&lt;=$H39,AI$5+6&gt;=$G39),"■",""))</x:f>
      </x:c>
      <x:c r="AJ39" s="46" t="str">
        <x:f>IF(OR($G39="",$H39=""),"",IF(AND(AJ$5&lt;=$H39,AJ$5+6&gt;=$G39),"■",""))</x:f>
      </x:c>
      <x:c r="AK39" s="46" t="str">
        <x:f>IF(OR($G39="",$H39=""),"",IF(AND(AK$5&lt;=$H39,AK$5+6&gt;=$G39),"■",""))</x:f>
      </x:c>
      <x:c r="AL39" s="46" t="str">
        <x:f>IF(OR($G39="",$H39=""),"",IF(AND(AL$5&lt;=$H39,AL$5+6&gt;=$G39),"■",""))</x:f>
      </x:c>
      <x:c r="AM39" s="46" t="str">
        <x:f>IF(OR($G39="",$H39=""),"",IF(AND(AM$5&lt;=$H39,AM$5+6&gt;=$G39),"■",""))</x:f>
      </x:c>
    </x:row>
    <x:row r="40" ht="28" customHeight="1">
      <x:c r="A40" s="26" t="str">
        <x:v>ENG-R5-001</x:v>
      </x:c>
      <x:c r="B40" s="26" t="str">
        <x:v>Prospective Import &amp; Revisions</x:v>
      </x:c>
      <x:c r="C40" s="26" t="str">
        <x:v>Backlog</x:v>
      </x:c>
      <x:c r="D40" s="26" t="str">
        <x:v>Incomplete</x:v>
      </x:c>
      <x:c r="E40" s="26" t="str">
        <x:v>No</x:v>
      </x:c>
      <x:c r="F40" s="26" t="str">
        <x:v>R5</x:v>
      </x:c>
      <x:c r="G40" s="35" t="n">
        <x:v>46352</x:v>
      </x:c>
      <x:c r="H40" s="35" t="n">
        <x:v>46365</x:v>
      </x:c>
      <x:c r="I40" s="46" t="str">
        <x:f>IF(OR($G40="",$H40=""),"",IF(AND(I$5&lt;=$H40,I$5+6&gt;=$G40),"■",""))</x:f>
      </x:c>
      <x:c r="J40" s="46" t="str">
        <x:f>IF(OR($G40="",$H40=""),"",IF(AND(J$5&lt;=$H40,J$5+6&gt;=$G40),"■",""))</x:f>
      </x:c>
      <x:c r="K40" s="46" t="str">
        <x:f>IF(OR($G40="",$H40=""),"",IF(AND(K$5&lt;=$H40,K$5+6&gt;=$G40),"■",""))</x:f>
      </x:c>
      <x:c r="L40" s="46" t="str">
        <x:f>IF(OR($G40="",$H40=""),"",IF(AND(L$5&lt;=$H40,L$5+6&gt;=$G40),"■",""))</x:f>
      </x:c>
      <x:c r="M40" s="46" t="str">
        <x:f>IF(OR($G40="",$H40=""),"",IF(AND(M$5&lt;=$H40,M$5+6&gt;=$G40),"■",""))</x:f>
      </x:c>
      <x:c r="N40" s="46" t="str">
        <x:f>IF(OR($G40="",$H40=""),"",IF(AND(N$5&lt;=$H40,N$5+6&gt;=$G40),"■",""))</x:f>
      </x:c>
      <x:c r="O40" s="46" t="str">
        <x:f>IF(OR($G40="",$H40=""),"",IF(AND(O$5&lt;=$H40,O$5+6&gt;=$G40),"■",""))</x:f>
      </x:c>
      <x:c r="P40" s="46" t="str">
        <x:f>IF(OR($G40="",$H40=""),"",IF(AND(P$5&lt;=$H40,P$5+6&gt;=$G40),"■",""))</x:f>
      </x:c>
      <x:c r="Q40" s="46" t="str">
        <x:f>IF(OR($G40="",$H40=""),"",IF(AND(Q$5&lt;=$H40,Q$5+6&gt;=$G40),"■",""))</x:f>
      </x:c>
      <x:c r="R40" s="46" t="str">
        <x:f>IF(OR($G40="",$H40=""),"",IF(AND(R$5&lt;=$H40,R$5+6&gt;=$G40),"■",""))</x:f>
      </x:c>
      <x:c r="S40" s="46" t="str">
        <x:f>IF(OR($G40="",$H40=""),"",IF(AND(S$5&lt;=$H40,S$5+6&gt;=$G40),"■",""))</x:f>
      </x:c>
      <x:c r="T40" s="46" t="str">
        <x:f>IF(OR($G40="",$H40=""),"",IF(AND(T$5&lt;=$H40,T$5+6&gt;=$G40),"■",""))</x:f>
      </x:c>
      <x:c r="U40" s="46" t="str">
        <x:f>IF(OR($G40="",$H40=""),"",IF(AND(U$5&lt;=$H40,U$5+6&gt;=$G40),"■",""))</x:f>
      </x:c>
      <x:c r="V40" s="46" t="str">
        <x:f>IF(OR($G40="",$H40=""),"",IF(AND(V$5&lt;=$H40,V$5+6&gt;=$G40),"■",""))</x:f>
      </x:c>
      <x:c r="W40" s="46" t="str">
        <x:f>IF(OR($G40="",$H40=""),"",IF(AND(W$5&lt;=$H40,W$5+6&gt;=$G40),"■",""))</x:f>
        <x:v>■</x:v>
      </x:c>
      <x:c r="X40" s="46" t="str">
        <x:f>IF(OR($G40="",$H40=""),"",IF(AND(X$5&lt;=$H40,X$5+6&gt;=$G40),"■",""))</x:f>
        <x:v>■</x:v>
      </x:c>
      <x:c r="Y40" s="46" t="str">
        <x:f>IF(OR($G40="",$H40=""),"",IF(AND(Y$5&lt;=$H40,Y$5+6&gt;=$G40),"■",""))</x:f>
        <x:v>■</x:v>
      </x:c>
      <x:c r="Z40" s="46" t="str">
        <x:f>IF(OR($G40="",$H40=""),"",IF(AND(Z$5&lt;=$H40,Z$5+6&gt;=$G40),"■",""))</x:f>
      </x:c>
      <x:c r="AA40" s="46" t="str">
        <x:f>IF(OR($G40="",$H40=""),"",IF(AND(AA$5&lt;=$H40,AA$5+6&gt;=$G40),"■",""))</x:f>
      </x:c>
      <x:c r="AB40" s="46" t="str">
        <x:f>IF(OR($G40="",$H40=""),"",IF(AND(AB$5&lt;=$H40,AB$5+6&gt;=$G40),"■",""))</x:f>
      </x:c>
      <x:c r="AC40" s="46" t="str">
        <x:f>IF(OR($G40="",$H40=""),"",IF(AND(AC$5&lt;=$H40,AC$5+6&gt;=$G40),"■",""))</x:f>
      </x:c>
      <x:c r="AD40" s="46" t="str">
        <x:f>IF(OR($G40="",$H40=""),"",IF(AND(AD$5&lt;=$H40,AD$5+6&gt;=$G40),"■",""))</x:f>
      </x:c>
      <x:c r="AE40" s="46" t="str">
        <x:f>IF(OR($G40="",$H40=""),"",IF(AND(AE$5&lt;=$H40,AE$5+6&gt;=$G40),"■",""))</x:f>
      </x:c>
      <x:c r="AF40" s="46" t="str">
        <x:f>IF(OR($G40="",$H40=""),"",IF(AND(AF$5&lt;=$H40,AF$5+6&gt;=$G40),"■",""))</x:f>
      </x:c>
      <x:c r="AG40" s="46" t="str">
        <x:f>IF(OR($G40="",$H40=""),"",IF(AND(AG$5&lt;=$H40,AG$5+6&gt;=$G40),"■",""))</x:f>
      </x:c>
      <x:c r="AH40" s="46" t="str">
        <x:f>IF(OR($G40="",$H40=""),"",IF(AND(AH$5&lt;=$H40,AH$5+6&gt;=$G40),"■",""))</x:f>
      </x:c>
      <x:c r="AI40" s="46" t="str">
        <x:f>IF(OR($G40="",$H40=""),"",IF(AND(AI$5&lt;=$H40,AI$5+6&gt;=$G40),"■",""))</x:f>
      </x:c>
      <x:c r="AJ40" s="46" t="str">
        <x:f>IF(OR($G40="",$H40=""),"",IF(AND(AJ$5&lt;=$H40,AJ$5+6&gt;=$G40),"■",""))</x:f>
      </x:c>
      <x:c r="AK40" s="46" t="str">
        <x:f>IF(OR($G40="",$H40=""),"",IF(AND(AK$5&lt;=$H40,AK$5+6&gt;=$G40),"■",""))</x:f>
      </x:c>
      <x:c r="AL40" s="46" t="str">
        <x:f>IF(OR($G40="",$H40=""),"",IF(AND(AL$5&lt;=$H40,AL$5+6&gt;=$G40),"■",""))</x:f>
      </x:c>
      <x:c r="AM40" s="46" t="str">
        <x:f>IF(OR($G40="",$H40=""),"",IF(AND(AM$5&lt;=$H40,AM$5+6&gt;=$G40),"■",""))</x:f>
      </x:c>
    </x:row>
    <x:row r="41" ht="28" customHeight="1">
      <x:c r="A41" s="26" t="str">
        <x:v>REL-R5-001</x:v>
      </x:c>
      <x:c r="B41" s="26" t="str">
        <x:v>Replay/Suppression/Restore Acceptance</x:v>
      </x:c>
      <x:c r="C41" s="26" t="str">
        <x:v>Backlog</x:v>
      </x:c>
      <x:c r="D41" s="26" t="str">
        <x:v>Incomplete</x:v>
      </x:c>
      <x:c r="E41" s="26" t="str">
        <x:v>No</x:v>
      </x:c>
      <x:c r="F41" s="26" t="str">
        <x:v>R5</x:v>
      </x:c>
      <x:c r="G41" s="35" t="n">
        <x:v>46366</x:v>
      </x:c>
      <x:c r="H41" s="35" t="n">
        <x:v>46367</x:v>
      </x:c>
      <x:c r="I41" s="46" t="str">
        <x:f>IF(OR($G41="",$H41=""),"",IF(AND(I$5&lt;=$H41,I$5+6&gt;=$G41),"■",""))</x:f>
      </x:c>
      <x:c r="J41" s="46" t="str">
        <x:f>IF(OR($G41="",$H41=""),"",IF(AND(J$5&lt;=$H41,J$5+6&gt;=$G41),"■",""))</x:f>
      </x:c>
      <x:c r="K41" s="46" t="str">
        <x:f>IF(OR($G41="",$H41=""),"",IF(AND(K$5&lt;=$H41,K$5+6&gt;=$G41),"■",""))</x:f>
      </x:c>
      <x:c r="L41" s="46" t="str">
        <x:f>IF(OR($G41="",$H41=""),"",IF(AND(L$5&lt;=$H41,L$5+6&gt;=$G41),"■",""))</x:f>
      </x:c>
      <x:c r="M41" s="46" t="str">
        <x:f>IF(OR($G41="",$H41=""),"",IF(AND(M$5&lt;=$H41,M$5+6&gt;=$G41),"■",""))</x:f>
      </x:c>
      <x:c r="N41" s="46" t="str">
        <x:f>IF(OR($G41="",$H41=""),"",IF(AND(N$5&lt;=$H41,N$5+6&gt;=$G41),"■",""))</x:f>
      </x:c>
      <x:c r="O41" s="46" t="str">
        <x:f>IF(OR($G41="",$H41=""),"",IF(AND(O$5&lt;=$H41,O$5+6&gt;=$G41),"■",""))</x:f>
      </x:c>
      <x:c r="P41" s="46" t="str">
        <x:f>IF(OR($G41="",$H41=""),"",IF(AND(P$5&lt;=$H41,P$5+6&gt;=$G41),"■",""))</x:f>
      </x:c>
      <x:c r="Q41" s="46" t="str">
        <x:f>IF(OR($G41="",$H41=""),"",IF(AND(Q$5&lt;=$H41,Q$5+6&gt;=$G41),"■",""))</x:f>
      </x:c>
      <x:c r="R41" s="46" t="str">
        <x:f>IF(OR($G41="",$H41=""),"",IF(AND(R$5&lt;=$H41,R$5+6&gt;=$G41),"■",""))</x:f>
      </x:c>
      <x:c r="S41" s="46" t="str">
        <x:f>IF(OR($G41="",$H41=""),"",IF(AND(S$5&lt;=$H41,S$5+6&gt;=$G41),"■",""))</x:f>
      </x:c>
      <x:c r="T41" s="46" t="str">
        <x:f>IF(OR($G41="",$H41=""),"",IF(AND(T$5&lt;=$H41,T$5+6&gt;=$G41),"■",""))</x:f>
      </x:c>
      <x:c r="U41" s="46" t="str">
        <x:f>IF(OR($G41="",$H41=""),"",IF(AND(U$5&lt;=$H41,U$5+6&gt;=$G41),"■",""))</x:f>
      </x:c>
      <x:c r="V41" s="46" t="str">
        <x:f>IF(OR($G41="",$H41=""),"",IF(AND(V$5&lt;=$H41,V$5+6&gt;=$G41),"■",""))</x:f>
      </x:c>
      <x:c r="W41" s="46" t="str">
        <x:f>IF(OR($G41="",$H41=""),"",IF(AND(W$5&lt;=$H41,W$5+6&gt;=$G41),"■",""))</x:f>
      </x:c>
      <x:c r="X41" s="46" t="str">
        <x:f>IF(OR($G41="",$H41=""),"",IF(AND(X$5&lt;=$H41,X$5+6&gt;=$G41),"■",""))</x:f>
      </x:c>
      <x:c r="Y41" s="46" t="str">
        <x:f>IF(OR($G41="",$H41=""),"",IF(AND(Y$5&lt;=$H41,Y$5+6&gt;=$G41),"■",""))</x:f>
        <x:v>■</x:v>
      </x:c>
      <x:c r="Z41" s="46" t="str">
        <x:f>IF(OR($G41="",$H41=""),"",IF(AND(Z$5&lt;=$H41,Z$5+6&gt;=$G41),"■",""))</x:f>
      </x:c>
      <x:c r="AA41" s="46" t="str">
        <x:f>IF(OR($G41="",$H41=""),"",IF(AND(AA$5&lt;=$H41,AA$5+6&gt;=$G41),"■",""))</x:f>
      </x:c>
      <x:c r="AB41" s="46" t="str">
        <x:f>IF(OR($G41="",$H41=""),"",IF(AND(AB$5&lt;=$H41,AB$5+6&gt;=$G41),"■",""))</x:f>
      </x:c>
      <x:c r="AC41" s="46" t="str">
        <x:f>IF(OR($G41="",$H41=""),"",IF(AND(AC$5&lt;=$H41,AC$5+6&gt;=$G41),"■",""))</x:f>
      </x:c>
      <x:c r="AD41" s="46" t="str">
        <x:f>IF(OR($G41="",$H41=""),"",IF(AND(AD$5&lt;=$H41,AD$5+6&gt;=$G41),"■",""))</x:f>
      </x:c>
      <x:c r="AE41" s="46" t="str">
        <x:f>IF(OR($G41="",$H41=""),"",IF(AND(AE$5&lt;=$H41,AE$5+6&gt;=$G41),"■",""))</x:f>
      </x:c>
      <x:c r="AF41" s="46" t="str">
        <x:f>IF(OR($G41="",$H41=""),"",IF(AND(AF$5&lt;=$H41,AF$5+6&gt;=$G41),"■",""))</x:f>
      </x:c>
      <x:c r="AG41" s="46" t="str">
        <x:f>IF(OR($G41="",$H41=""),"",IF(AND(AG$5&lt;=$H41,AG$5+6&gt;=$G41),"■",""))</x:f>
      </x:c>
      <x:c r="AH41" s="46" t="str">
        <x:f>IF(OR($G41="",$H41=""),"",IF(AND(AH$5&lt;=$H41,AH$5+6&gt;=$G41),"■",""))</x:f>
      </x:c>
      <x:c r="AI41" s="46" t="str">
        <x:f>IF(OR($G41="",$H41=""),"",IF(AND(AI$5&lt;=$H41,AI$5+6&gt;=$G41),"■",""))</x:f>
      </x:c>
      <x:c r="AJ41" s="46" t="str">
        <x:f>IF(OR($G41="",$H41=""),"",IF(AND(AJ$5&lt;=$H41,AJ$5+6&gt;=$G41),"■",""))</x:f>
      </x:c>
      <x:c r="AK41" s="46" t="str">
        <x:f>IF(OR($G41="",$H41=""),"",IF(AND(AK$5&lt;=$H41,AK$5+6&gt;=$G41),"■",""))</x:f>
      </x:c>
      <x:c r="AL41" s="46" t="str">
        <x:f>IF(OR($G41="",$H41=""),"",IF(AND(AL$5&lt;=$H41,AL$5+6&gt;=$G41),"■",""))</x:f>
      </x:c>
      <x:c r="AM41" s="46" t="str">
        <x:f>IF(OR($G41="",$H41=""),"",IF(AND(AM$5&lt;=$H41,AM$5+6&gt;=$G41),"■",""))</x:f>
      </x:c>
    </x:row>
    <x:row r="42" ht="28" customHeight="1">
      <x:c r="A42" s="26" t="str">
        <x:v>EVAL-R6-001</x:v>
      </x:c>
      <x:c r="B42" s="26" t="str">
        <x:v>Text Model Evaluation</x:v>
      </x:c>
      <x:c r="C42" s="26" t="str">
        <x:v>Backlog</x:v>
      </x:c>
      <x:c r="D42" s="26" t="str">
        <x:v>Incomplete</x:v>
      </x:c>
      <x:c r="E42" s="26" t="str">
        <x:v>No</x:v>
      </x:c>
      <x:c r="F42" s="26" t="str">
        <x:v>R6</x:v>
      </x:c>
      <x:c r="G42" s="35" t="n">
        <x:v>46370</x:v>
      </x:c>
      <x:c r="H42" s="35" t="n">
        <x:v>46374</x:v>
      </x:c>
      <x:c r="I42" s="46" t="str">
        <x:f>IF(OR($G42="",$H42=""),"",IF(AND(I$5&lt;=$H42,I$5+6&gt;=$G42),"■",""))</x:f>
      </x:c>
      <x:c r="J42" s="46" t="str">
        <x:f>IF(OR($G42="",$H42=""),"",IF(AND(J$5&lt;=$H42,J$5+6&gt;=$G42),"■",""))</x:f>
      </x:c>
      <x:c r="K42" s="46" t="str">
        <x:f>IF(OR($G42="",$H42=""),"",IF(AND(K$5&lt;=$H42,K$5+6&gt;=$G42),"■",""))</x:f>
      </x:c>
      <x:c r="L42" s="46" t="str">
        <x:f>IF(OR($G42="",$H42=""),"",IF(AND(L$5&lt;=$H42,L$5+6&gt;=$G42),"■",""))</x:f>
      </x:c>
      <x:c r="M42" s="46" t="str">
        <x:f>IF(OR($G42="",$H42=""),"",IF(AND(M$5&lt;=$H42,M$5+6&gt;=$G42),"■",""))</x:f>
      </x:c>
      <x:c r="N42" s="46" t="str">
        <x:f>IF(OR($G42="",$H42=""),"",IF(AND(N$5&lt;=$H42,N$5+6&gt;=$G42),"■",""))</x:f>
      </x:c>
      <x:c r="O42" s="46" t="str">
        <x:f>IF(OR($G42="",$H42=""),"",IF(AND(O$5&lt;=$H42,O$5+6&gt;=$G42),"■",""))</x:f>
      </x:c>
      <x:c r="P42" s="46" t="str">
        <x:f>IF(OR($G42="",$H42=""),"",IF(AND(P$5&lt;=$H42,P$5+6&gt;=$G42),"■",""))</x:f>
      </x:c>
      <x:c r="Q42" s="46" t="str">
        <x:f>IF(OR($G42="",$H42=""),"",IF(AND(Q$5&lt;=$H42,Q$5+6&gt;=$G42),"■",""))</x:f>
      </x:c>
      <x:c r="R42" s="46" t="str">
        <x:f>IF(OR($G42="",$H42=""),"",IF(AND(R$5&lt;=$H42,R$5+6&gt;=$G42),"■",""))</x:f>
      </x:c>
      <x:c r="S42" s="46" t="str">
        <x:f>IF(OR($G42="",$H42=""),"",IF(AND(S$5&lt;=$H42,S$5+6&gt;=$G42),"■",""))</x:f>
      </x:c>
      <x:c r="T42" s="46" t="str">
        <x:f>IF(OR($G42="",$H42=""),"",IF(AND(T$5&lt;=$H42,T$5+6&gt;=$G42),"■",""))</x:f>
      </x:c>
      <x:c r="U42" s="46" t="str">
        <x:f>IF(OR($G42="",$H42=""),"",IF(AND(U$5&lt;=$H42,U$5+6&gt;=$G42),"■",""))</x:f>
      </x:c>
      <x:c r="V42" s="46" t="str">
        <x:f>IF(OR($G42="",$H42=""),"",IF(AND(V$5&lt;=$H42,V$5+6&gt;=$G42),"■",""))</x:f>
      </x:c>
      <x:c r="W42" s="46" t="str">
        <x:f>IF(OR($G42="",$H42=""),"",IF(AND(W$5&lt;=$H42,W$5+6&gt;=$G42),"■",""))</x:f>
      </x:c>
      <x:c r="X42" s="46" t="str">
        <x:f>IF(OR($G42="",$H42=""),"",IF(AND(X$5&lt;=$H42,X$5+6&gt;=$G42),"■",""))</x:f>
      </x:c>
      <x:c r="Y42" s="46" t="str">
        <x:f>IF(OR($G42="",$H42=""),"",IF(AND(Y$5&lt;=$H42,Y$5+6&gt;=$G42),"■",""))</x:f>
      </x:c>
      <x:c r="Z42" s="46" t="str">
        <x:f>IF(OR($G42="",$H42=""),"",IF(AND(Z$5&lt;=$H42,Z$5+6&gt;=$G42),"■",""))</x:f>
        <x:v>■</x:v>
      </x:c>
      <x:c r="AA42" s="46" t="str">
        <x:f>IF(OR($G42="",$H42=""),"",IF(AND(AA$5&lt;=$H42,AA$5+6&gt;=$G42),"■",""))</x:f>
      </x:c>
      <x:c r="AB42" s="46" t="str">
        <x:f>IF(OR($G42="",$H42=""),"",IF(AND(AB$5&lt;=$H42,AB$5+6&gt;=$G42),"■",""))</x:f>
      </x:c>
      <x:c r="AC42" s="46" t="str">
        <x:f>IF(OR($G42="",$H42=""),"",IF(AND(AC$5&lt;=$H42,AC$5+6&gt;=$G42),"■",""))</x:f>
      </x:c>
      <x:c r="AD42" s="46" t="str">
        <x:f>IF(OR($G42="",$H42=""),"",IF(AND(AD$5&lt;=$H42,AD$5+6&gt;=$G42),"■",""))</x:f>
      </x:c>
      <x:c r="AE42" s="46" t="str">
        <x:f>IF(OR($G42="",$H42=""),"",IF(AND(AE$5&lt;=$H42,AE$5+6&gt;=$G42),"■",""))</x:f>
      </x:c>
      <x:c r="AF42" s="46" t="str">
        <x:f>IF(OR($G42="",$H42=""),"",IF(AND(AF$5&lt;=$H42,AF$5+6&gt;=$G42),"■",""))</x:f>
      </x:c>
      <x:c r="AG42" s="46" t="str">
        <x:f>IF(OR($G42="",$H42=""),"",IF(AND(AG$5&lt;=$H42,AG$5+6&gt;=$G42),"■",""))</x:f>
      </x:c>
      <x:c r="AH42" s="46" t="str">
        <x:f>IF(OR($G42="",$H42=""),"",IF(AND(AH$5&lt;=$H42,AH$5+6&gt;=$G42),"■",""))</x:f>
      </x:c>
      <x:c r="AI42" s="46" t="str">
        <x:f>IF(OR($G42="",$H42=""),"",IF(AND(AI$5&lt;=$H42,AI$5+6&gt;=$G42),"■",""))</x:f>
      </x:c>
      <x:c r="AJ42" s="46" t="str">
        <x:f>IF(OR($G42="",$H42=""),"",IF(AND(AJ$5&lt;=$H42,AJ$5+6&gt;=$G42),"■",""))</x:f>
      </x:c>
      <x:c r="AK42" s="46" t="str">
        <x:f>IF(OR($G42="",$H42=""),"",IF(AND(AK$5&lt;=$H42,AK$5+6&gt;=$G42),"■",""))</x:f>
      </x:c>
      <x:c r="AL42" s="46" t="str">
        <x:f>IF(OR($G42="",$H42=""),"",IF(AND(AL$5&lt;=$H42,AL$5+6&gt;=$G42),"■",""))</x:f>
      </x:c>
      <x:c r="AM42" s="46" t="str">
        <x:f>IF(OR($G42="",$H42=""),"",IF(AND(AM$5&lt;=$H42,AM$5+6&gt;=$G42),"■",""))</x:f>
      </x:c>
    </x:row>
    <x:row r="43" ht="28" customHeight="1">
      <x:c r="A43" s="26" t="str">
        <x:v>PRD-R6-001</x:v>
      </x:c>
      <x:c r="B43" s="26" t="str">
        <x:v>Generated Text PRD</x:v>
      </x:c>
      <x:c r="C43" s="26" t="str">
        <x:v>Done</x:v>
      </x:c>
      <x:c r="D43" s="26" t="str">
        <x:v>Incomplete</x:v>
      </x:c>
      <x:c r="E43" s="26" t="str">
        <x:v>No</x:v>
      </x:c>
      <x:c r="F43" s="26" t="str">
        <x:v>R6</x:v>
      </x:c>
      <x:c r="G43" s="35" t="n">
        <x:v>46370</x:v>
      </x:c>
      <x:c r="H43" s="35" t="n">
        <x:v>46374</x:v>
      </x:c>
      <x:c r="I43" s="46" t="str">
        <x:f>IF(OR($G43="",$H43=""),"",IF(AND(I$5&lt;=$H43,I$5+6&gt;=$G43),"■",""))</x:f>
      </x:c>
      <x:c r="J43" s="46" t="str">
        <x:f>IF(OR($G43="",$H43=""),"",IF(AND(J$5&lt;=$H43,J$5+6&gt;=$G43),"■",""))</x:f>
      </x:c>
      <x:c r="K43" s="46" t="str">
        <x:f>IF(OR($G43="",$H43=""),"",IF(AND(K$5&lt;=$H43,K$5+6&gt;=$G43),"■",""))</x:f>
      </x:c>
      <x:c r="L43" s="46" t="str">
        <x:f>IF(OR($G43="",$H43=""),"",IF(AND(L$5&lt;=$H43,L$5+6&gt;=$G43),"■",""))</x:f>
      </x:c>
      <x:c r="M43" s="46" t="str">
        <x:f>IF(OR($G43="",$H43=""),"",IF(AND(M$5&lt;=$H43,M$5+6&gt;=$G43),"■",""))</x:f>
      </x:c>
      <x:c r="N43" s="46" t="str">
        <x:f>IF(OR($G43="",$H43=""),"",IF(AND(N$5&lt;=$H43,N$5+6&gt;=$G43),"■",""))</x:f>
      </x:c>
      <x:c r="O43" s="46" t="str">
        <x:f>IF(OR($G43="",$H43=""),"",IF(AND(O$5&lt;=$H43,O$5+6&gt;=$G43),"■",""))</x:f>
      </x:c>
      <x:c r="P43" s="46" t="str">
        <x:f>IF(OR($G43="",$H43=""),"",IF(AND(P$5&lt;=$H43,P$5+6&gt;=$G43),"■",""))</x:f>
      </x:c>
      <x:c r="Q43" s="46" t="str">
        <x:f>IF(OR($G43="",$H43=""),"",IF(AND(Q$5&lt;=$H43,Q$5+6&gt;=$G43),"■",""))</x:f>
      </x:c>
      <x:c r="R43" s="46" t="str">
        <x:f>IF(OR($G43="",$H43=""),"",IF(AND(R$5&lt;=$H43,R$5+6&gt;=$G43),"■",""))</x:f>
      </x:c>
      <x:c r="S43" s="46" t="str">
        <x:f>IF(OR($G43="",$H43=""),"",IF(AND(S$5&lt;=$H43,S$5+6&gt;=$G43),"■",""))</x:f>
      </x:c>
      <x:c r="T43" s="46" t="str">
        <x:f>IF(OR($G43="",$H43=""),"",IF(AND(T$5&lt;=$H43,T$5+6&gt;=$G43),"■",""))</x:f>
      </x:c>
      <x:c r="U43" s="46" t="str">
        <x:f>IF(OR($G43="",$H43=""),"",IF(AND(U$5&lt;=$H43,U$5+6&gt;=$G43),"■",""))</x:f>
      </x:c>
      <x:c r="V43" s="46" t="str">
        <x:f>IF(OR($G43="",$H43=""),"",IF(AND(V$5&lt;=$H43,V$5+6&gt;=$G43),"■",""))</x:f>
      </x:c>
      <x:c r="W43" s="46" t="str">
        <x:f>IF(OR($G43="",$H43=""),"",IF(AND(W$5&lt;=$H43,W$5+6&gt;=$G43),"■",""))</x:f>
      </x:c>
      <x:c r="X43" s="46" t="str">
        <x:f>IF(OR($G43="",$H43=""),"",IF(AND(X$5&lt;=$H43,X$5+6&gt;=$G43),"■",""))</x:f>
      </x:c>
      <x:c r="Y43" s="46" t="str">
        <x:f>IF(OR($G43="",$H43=""),"",IF(AND(Y$5&lt;=$H43,Y$5+6&gt;=$G43),"■",""))</x:f>
      </x:c>
      <x:c r="Z43" s="46" t="str">
        <x:f>IF(OR($G43="",$H43=""),"",IF(AND(Z$5&lt;=$H43,Z$5+6&gt;=$G43),"■",""))</x:f>
        <x:v>■</x:v>
      </x:c>
      <x:c r="AA43" s="46" t="str">
        <x:f>IF(OR($G43="",$H43=""),"",IF(AND(AA$5&lt;=$H43,AA$5+6&gt;=$G43),"■",""))</x:f>
      </x:c>
      <x:c r="AB43" s="46" t="str">
        <x:f>IF(OR($G43="",$H43=""),"",IF(AND(AB$5&lt;=$H43,AB$5+6&gt;=$G43),"■",""))</x:f>
      </x:c>
      <x:c r="AC43" s="46" t="str">
        <x:f>IF(OR($G43="",$H43=""),"",IF(AND(AC$5&lt;=$H43,AC$5+6&gt;=$G43),"■",""))</x:f>
      </x:c>
      <x:c r="AD43" s="46" t="str">
        <x:f>IF(OR($G43="",$H43=""),"",IF(AND(AD$5&lt;=$H43,AD$5+6&gt;=$G43),"■",""))</x:f>
      </x:c>
      <x:c r="AE43" s="46" t="str">
        <x:f>IF(OR($G43="",$H43=""),"",IF(AND(AE$5&lt;=$H43,AE$5+6&gt;=$G43),"■",""))</x:f>
      </x:c>
      <x:c r="AF43" s="46" t="str">
        <x:f>IF(OR($G43="",$H43=""),"",IF(AND(AF$5&lt;=$H43,AF$5+6&gt;=$G43),"■",""))</x:f>
      </x:c>
      <x:c r="AG43" s="46" t="str">
        <x:f>IF(OR($G43="",$H43=""),"",IF(AND(AG$5&lt;=$H43,AG$5+6&gt;=$G43),"■",""))</x:f>
      </x:c>
      <x:c r="AH43" s="46" t="str">
        <x:f>IF(OR($G43="",$H43=""),"",IF(AND(AH$5&lt;=$H43,AH$5+6&gt;=$G43),"■",""))</x:f>
      </x:c>
      <x:c r="AI43" s="46" t="str">
        <x:f>IF(OR($G43="",$H43=""),"",IF(AND(AI$5&lt;=$H43,AI$5+6&gt;=$G43),"■",""))</x:f>
      </x:c>
      <x:c r="AJ43" s="46" t="str">
        <x:f>IF(OR($G43="",$H43=""),"",IF(AND(AJ$5&lt;=$H43,AJ$5+6&gt;=$G43),"■",""))</x:f>
      </x:c>
      <x:c r="AK43" s="46" t="str">
        <x:f>IF(OR($G43="",$H43=""),"",IF(AND(AK$5&lt;=$H43,AK$5+6&gt;=$G43),"■",""))</x:f>
      </x:c>
      <x:c r="AL43" s="46" t="str">
        <x:f>IF(OR($G43="",$H43=""),"",IF(AND(AL$5&lt;=$H43,AL$5+6&gt;=$G43),"■",""))</x:f>
      </x:c>
      <x:c r="AM43" s="46" t="str">
        <x:f>IF(OR($G43="",$H43=""),"",IF(AND(AM$5&lt;=$H43,AM$5+6&gt;=$G43),"■",""))</x:f>
      </x:c>
    </x:row>
    <x:row r="44" ht="28" customHeight="1">
      <x:c r="A44" s="26" t="str">
        <x:v>UX-R6-001</x:v>
      </x:c>
      <x:c r="B44" s="26" t="str">
        <x:v>Text/Provider/Budget States</x:v>
      </x:c>
      <x:c r="C44" s="26" t="str">
        <x:v>Backlog</x:v>
      </x:c>
      <x:c r="D44" s="26" t="str">
        <x:v>Incomplete</x:v>
      </x:c>
      <x:c r="E44" s="26" t="str">
        <x:v>No</x:v>
      </x:c>
      <x:c r="F44" s="26" t="str">
        <x:v>R6</x:v>
      </x:c>
      <x:c r="G44" s="35" t="n">
        <x:v>46372</x:v>
      </x:c>
      <x:c r="H44" s="35" t="n">
        <x:v>46378</x:v>
      </x:c>
      <x:c r="I44" s="46" t="str">
        <x:f>IF(OR($G44="",$H44=""),"",IF(AND(I$5&lt;=$H44,I$5+6&gt;=$G44),"■",""))</x:f>
      </x:c>
      <x:c r="J44" s="46" t="str">
        <x:f>IF(OR($G44="",$H44=""),"",IF(AND(J$5&lt;=$H44,J$5+6&gt;=$G44),"■",""))</x:f>
      </x:c>
      <x:c r="K44" s="46" t="str">
        <x:f>IF(OR($G44="",$H44=""),"",IF(AND(K$5&lt;=$H44,K$5+6&gt;=$G44),"■",""))</x:f>
      </x:c>
      <x:c r="L44" s="46" t="str">
        <x:f>IF(OR($G44="",$H44=""),"",IF(AND(L$5&lt;=$H44,L$5+6&gt;=$G44),"■",""))</x:f>
      </x:c>
      <x:c r="M44" s="46" t="str">
        <x:f>IF(OR($G44="",$H44=""),"",IF(AND(M$5&lt;=$H44,M$5+6&gt;=$G44),"■",""))</x:f>
      </x:c>
      <x:c r="N44" s="46" t="str">
        <x:f>IF(OR($G44="",$H44=""),"",IF(AND(N$5&lt;=$H44,N$5+6&gt;=$G44),"■",""))</x:f>
      </x:c>
      <x:c r="O44" s="46" t="str">
        <x:f>IF(OR($G44="",$H44=""),"",IF(AND(O$5&lt;=$H44,O$5+6&gt;=$G44),"■",""))</x:f>
      </x:c>
      <x:c r="P44" s="46" t="str">
        <x:f>IF(OR($G44="",$H44=""),"",IF(AND(P$5&lt;=$H44,P$5+6&gt;=$G44),"■",""))</x:f>
      </x:c>
      <x:c r="Q44" s="46" t="str">
        <x:f>IF(OR($G44="",$H44=""),"",IF(AND(Q$5&lt;=$H44,Q$5+6&gt;=$G44),"■",""))</x:f>
      </x:c>
      <x:c r="R44" s="46" t="str">
        <x:f>IF(OR($G44="",$H44=""),"",IF(AND(R$5&lt;=$H44,R$5+6&gt;=$G44),"■",""))</x:f>
      </x:c>
      <x:c r="S44" s="46" t="str">
        <x:f>IF(OR($G44="",$H44=""),"",IF(AND(S$5&lt;=$H44,S$5+6&gt;=$G44),"■",""))</x:f>
      </x:c>
      <x:c r="T44" s="46" t="str">
        <x:f>IF(OR($G44="",$H44=""),"",IF(AND(T$5&lt;=$H44,T$5+6&gt;=$G44),"■",""))</x:f>
      </x:c>
      <x:c r="U44" s="46" t="str">
        <x:f>IF(OR($G44="",$H44=""),"",IF(AND(U$5&lt;=$H44,U$5+6&gt;=$G44),"■",""))</x:f>
      </x:c>
      <x:c r="V44" s="46" t="str">
        <x:f>IF(OR($G44="",$H44=""),"",IF(AND(V$5&lt;=$H44,V$5+6&gt;=$G44),"■",""))</x:f>
      </x:c>
      <x:c r="W44" s="46" t="str">
        <x:f>IF(OR($G44="",$H44=""),"",IF(AND(W$5&lt;=$H44,W$5+6&gt;=$G44),"■",""))</x:f>
      </x:c>
      <x:c r="X44" s="46" t="str">
        <x:f>IF(OR($G44="",$H44=""),"",IF(AND(X$5&lt;=$H44,X$5+6&gt;=$G44),"■",""))</x:f>
      </x:c>
      <x:c r="Y44" s="46" t="str">
        <x:f>IF(OR($G44="",$H44=""),"",IF(AND(Y$5&lt;=$H44,Y$5+6&gt;=$G44),"■",""))</x:f>
      </x:c>
      <x:c r="Z44" s="46" t="str">
        <x:f>IF(OR($G44="",$H44=""),"",IF(AND(Z$5&lt;=$H44,Z$5+6&gt;=$G44),"■",""))</x:f>
        <x:v>■</x:v>
      </x:c>
      <x:c r="AA44" s="46" t="str">
        <x:f>IF(OR($G44="",$H44=""),"",IF(AND(AA$5&lt;=$H44,AA$5+6&gt;=$G44),"■",""))</x:f>
        <x:v>■</x:v>
      </x:c>
      <x:c r="AB44" s="46" t="str">
        <x:f>IF(OR($G44="",$H44=""),"",IF(AND(AB$5&lt;=$H44,AB$5+6&gt;=$G44),"■",""))</x:f>
      </x:c>
      <x:c r="AC44" s="46" t="str">
        <x:f>IF(OR($G44="",$H44=""),"",IF(AND(AC$5&lt;=$H44,AC$5+6&gt;=$G44),"■",""))</x:f>
      </x:c>
      <x:c r="AD44" s="46" t="str">
        <x:f>IF(OR($G44="",$H44=""),"",IF(AND(AD$5&lt;=$H44,AD$5+6&gt;=$G44),"■",""))</x:f>
      </x:c>
      <x:c r="AE44" s="46" t="str">
        <x:f>IF(OR($G44="",$H44=""),"",IF(AND(AE$5&lt;=$H44,AE$5+6&gt;=$G44),"■",""))</x:f>
      </x:c>
      <x:c r="AF44" s="46" t="str">
        <x:f>IF(OR($G44="",$H44=""),"",IF(AND(AF$5&lt;=$H44,AF$5+6&gt;=$G44),"■",""))</x:f>
      </x:c>
      <x:c r="AG44" s="46" t="str">
        <x:f>IF(OR($G44="",$H44=""),"",IF(AND(AG$5&lt;=$H44,AG$5+6&gt;=$G44),"■",""))</x:f>
      </x:c>
      <x:c r="AH44" s="46" t="str">
        <x:f>IF(OR($G44="",$H44=""),"",IF(AND(AH$5&lt;=$H44,AH$5+6&gt;=$G44),"■",""))</x:f>
      </x:c>
      <x:c r="AI44" s="46" t="str">
        <x:f>IF(OR($G44="",$H44=""),"",IF(AND(AI$5&lt;=$H44,AI$5+6&gt;=$G44),"■",""))</x:f>
      </x:c>
      <x:c r="AJ44" s="46" t="str">
        <x:f>IF(OR($G44="",$H44=""),"",IF(AND(AJ$5&lt;=$H44,AJ$5+6&gt;=$G44),"■",""))</x:f>
      </x:c>
      <x:c r="AK44" s="46" t="str">
        <x:f>IF(OR($G44="",$H44=""),"",IF(AND(AK$5&lt;=$H44,AK$5+6&gt;=$G44),"■",""))</x:f>
      </x:c>
      <x:c r="AL44" s="46" t="str">
        <x:f>IF(OR($G44="",$H44=""),"",IF(AND(AL$5&lt;=$H44,AL$5+6&gt;=$G44),"■",""))</x:f>
      </x:c>
      <x:c r="AM44" s="46" t="str">
        <x:f>IF(OR($G44="",$H44=""),"",IF(AND(AM$5&lt;=$H44,AM$5+6&gt;=$G44),"■",""))</x:f>
      </x:c>
    </x:row>
    <x:row r="45" ht="28" customHeight="1">
      <x:c r="A45" s="26" t="str">
        <x:v>ARCH-R6-001</x:v>
      </x:c>
      <x:c r="B45" s="26" t="str">
        <x:v>Text Adapter/Jobs/Budget/Provenance</x:v>
      </x:c>
      <x:c r="C45" s="26" t="str">
        <x:v>Backlog</x:v>
      </x:c>
      <x:c r="D45" s="26" t="str">
        <x:v>Incomplete</x:v>
      </x:c>
      <x:c r="E45" s="26" t="str">
        <x:v>No</x:v>
      </x:c>
      <x:c r="F45" s="26" t="str">
        <x:v>R6</x:v>
      </x:c>
      <x:c r="G45" s="35" t="n">
        <x:v>46372</x:v>
      </x:c>
      <x:c r="H45" s="35" t="n">
        <x:v>46378</x:v>
      </x:c>
      <x:c r="I45" s="46" t="str">
        <x:f>IF(OR($G45="",$H45=""),"",IF(AND(I$5&lt;=$H45,I$5+6&gt;=$G45),"■",""))</x:f>
      </x:c>
      <x:c r="J45" s="46" t="str">
        <x:f>IF(OR($G45="",$H45=""),"",IF(AND(J$5&lt;=$H45,J$5+6&gt;=$G45),"■",""))</x:f>
      </x:c>
      <x:c r="K45" s="46" t="str">
        <x:f>IF(OR($G45="",$H45=""),"",IF(AND(K$5&lt;=$H45,K$5+6&gt;=$G45),"■",""))</x:f>
      </x:c>
      <x:c r="L45" s="46" t="str">
        <x:f>IF(OR($G45="",$H45=""),"",IF(AND(L$5&lt;=$H45,L$5+6&gt;=$G45),"■",""))</x:f>
      </x:c>
      <x:c r="M45" s="46" t="str">
        <x:f>IF(OR($G45="",$H45=""),"",IF(AND(M$5&lt;=$H45,M$5+6&gt;=$G45),"■",""))</x:f>
      </x:c>
      <x:c r="N45" s="46" t="str">
        <x:f>IF(OR($G45="",$H45=""),"",IF(AND(N$5&lt;=$H45,N$5+6&gt;=$G45),"■",""))</x:f>
      </x:c>
      <x:c r="O45" s="46" t="str">
        <x:f>IF(OR($G45="",$H45=""),"",IF(AND(O$5&lt;=$H45,O$5+6&gt;=$G45),"■",""))</x:f>
      </x:c>
      <x:c r="P45" s="46" t="str">
        <x:f>IF(OR($G45="",$H45=""),"",IF(AND(P$5&lt;=$H45,P$5+6&gt;=$G45),"■",""))</x:f>
      </x:c>
      <x:c r="Q45" s="46" t="str">
        <x:f>IF(OR($G45="",$H45=""),"",IF(AND(Q$5&lt;=$H45,Q$5+6&gt;=$G45),"■",""))</x:f>
      </x:c>
      <x:c r="R45" s="46" t="str">
        <x:f>IF(OR($G45="",$H45=""),"",IF(AND(R$5&lt;=$H45,R$5+6&gt;=$G45),"■",""))</x:f>
      </x:c>
      <x:c r="S45" s="46" t="str">
        <x:f>IF(OR($G45="",$H45=""),"",IF(AND(S$5&lt;=$H45,S$5+6&gt;=$G45),"■",""))</x:f>
      </x:c>
      <x:c r="T45" s="46" t="str">
        <x:f>IF(OR($G45="",$H45=""),"",IF(AND(T$5&lt;=$H45,T$5+6&gt;=$G45),"■",""))</x:f>
      </x:c>
      <x:c r="U45" s="46" t="str">
        <x:f>IF(OR($G45="",$H45=""),"",IF(AND(U$5&lt;=$H45,U$5+6&gt;=$G45),"■",""))</x:f>
      </x:c>
      <x:c r="V45" s="46" t="str">
        <x:f>IF(OR($G45="",$H45=""),"",IF(AND(V$5&lt;=$H45,V$5+6&gt;=$G45),"■",""))</x:f>
      </x:c>
      <x:c r="W45" s="46" t="str">
        <x:f>IF(OR($G45="",$H45=""),"",IF(AND(W$5&lt;=$H45,W$5+6&gt;=$G45),"■",""))</x:f>
      </x:c>
      <x:c r="X45" s="46" t="str">
        <x:f>IF(OR($G45="",$H45=""),"",IF(AND(X$5&lt;=$H45,X$5+6&gt;=$G45),"■",""))</x:f>
      </x:c>
      <x:c r="Y45" s="46" t="str">
        <x:f>IF(OR($G45="",$H45=""),"",IF(AND(Y$5&lt;=$H45,Y$5+6&gt;=$G45),"■",""))</x:f>
      </x:c>
      <x:c r="Z45" s="46" t="str">
        <x:f>IF(OR($G45="",$H45=""),"",IF(AND(Z$5&lt;=$H45,Z$5+6&gt;=$G45),"■",""))</x:f>
        <x:v>■</x:v>
      </x:c>
      <x:c r="AA45" s="46" t="str">
        <x:f>IF(OR($G45="",$H45=""),"",IF(AND(AA$5&lt;=$H45,AA$5+6&gt;=$G45),"■",""))</x:f>
        <x:v>■</x:v>
      </x:c>
      <x:c r="AB45" s="46" t="str">
        <x:f>IF(OR($G45="",$H45=""),"",IF(AND(AB$5&lt;=$H45,AB$5+6&gt;=$G45),"■",""))</x:f>
      </x:c>
      <x:c r="AC45" s="46" t="str">
        <x:f>IF(OR($G45="",$H45=""),"",IF(AND(AC$5&lt;=$H45,AC$5+6&gt;=$G45),"■",""))</x:f>
      </x:c>
      <x:c r="AD45" s="46" t="str">
        <x:f>IF(OR($G45="",$H45=""),"",IF(AND(AD$5&lt;=$H45,AD$5+6&gt;=$G45),"■",""))</x:f>
      </x:c>
      <x:c r="AE45" s="46" t="str">
        <x:f>IF(OR($G45="",$H45=""),"",IF(AND(AE$5&lt;=$H45,AE$5+6&gt;=$G45),"■",""))</x:f>
      </x:c>
      <x:c r="AF45" s="46" t="str">
        <x:f>IF(OR($G45="",$H45=""),"",IF(AND(AF$5&lt;=$H45,AF$5+6&gt;=$G45),"■",""))</x:f>
      </x:c>
      <x:c r="AG45" s="46" t="str">
        <x:f>IF(OR($G45="",$H45=""),"",IF(AND(AG$5&lt;=$H45,AG$5+6&gt;=$G45),"■",""))</x:f>
      </x:c>
      <x:c r="AH45" s="46" t="str">
        <x:f>IF(OR($G45="",$H45=""),"",IF(AND(AH$5&lt;=$H45,AH$5+6&gt;=$G45),"■",""))</x:f>
      </x:c>
      <x:c r="AI45" s="46" t="str">
        <x:f>IF(OR($G45="",$H45=""),"",IF(AND(AI$5&lt;=$H45,AI$5+6&gt;=$G45),"■",""))</x:f>
      </x:c>
      <x:c r="AJ45" s="46" t="str">
        <x:f>IF(OR($G45="",$H45=""),"",IF(AND(AJ$5&lt;=$H45,AJ$5+6&gt;=$G45),"■",""))</x:f>
      </x:c>
      <x:c r="AK45" s="46" t="str">
        <x:f>IF(OR($G45="",$H45=""),"",IF(AND(AK$5&lt;=$H45,AK$5+6&gt;=$G45),"■",""))</x:f>
      </x:c>
      <x:c r="AL45" s="46" t="str">
        <x:f>IF(OR($G45="",$H45=""),"",IF(AND(AL$5&lt;=$H45,AL$5+6&gt;=$G45),"■",""))</x:f>
      </x:c>
      <x:c r="AM45" s="46" t="str">
        <x:f>IF(OR($G45="",$H45=""),"",IF(AND(AM$5&lt;=$H45,AM$5+6&gt;=$G45),"■",""))</x:f>
      </x:c>
    </x:row>
    <x:row r="46" ht="28" customHeight="1">
      <x:c r="A46" s="26" t="str">
        <x:v>ENG-R6-001</x:v>
      </x:c>
      <x:c r="B46" s="26" t="str">
        <x:v>Text Derivation &amp; Protected Fields</x:v>
      </x:c>
      <x:c r="C46" s="26" t="str">
        <x:v>Backlog</x:v>
      </x:c>
      <x:c r="D46" s="26" t="str">
        <x:v>Incomplete</x:v>
      </x:c>
      <x:c r="E46" s="26" t="str">
        <x:v>No</x:v>
      </x:c>
      <x:c r="F46" s="26" t="str">
        <x:v>R6</x:v>
      </x:c>
      <x:c r="G46" s="35" t="n">
        <x:v>46377</x:v>
      </x:c>
      <x:c r="H46" s="35" t="n">
        <x:v>46393</x:v>
      </x:c>
      <x:c r="I46" s="46" t="str">
        <x:f>IF(OR($G46="",$H46=""),"",IF(AND(I$5&lt;=$H46,I$5+6&gt;=$G46),"■",""))</x:f>
      </x:c>
      <x:c r="J46" s="46" t="str">
        <x:f>IF(OR($G46="",$H46=""),"",IF(AND(J$5&lt;=$H46,J$5+6&gt;=$G46),"■",""))</x:f>
      </x:c>
      <x:c r="K46" s="46" t="str">
        <x:f>IF(OR($G46="",$H46=""),"",IF(AND(K$5&lt;=$H46,K$5+6&gt;=$G46),"■",""))</x:f>
      </x:c>
      <x:c r="L46" s="46" t="str">
        <x:f>IF(OR($G46="",$H46=""),"",IF(AND(L$5&lt;=$H46,L$5+6&gt;=$G46),"■",""))</x:f>
      </x:c>
      <x:c r="M46" s="46" t="str">
        <x:f>IF(OR($G46="",$H46=""),"",IF(AND(M$5&lt;=$H46,M$5+6&gt;=$G46),"■",""))</x:f>
      </x:c>
      <x:c r="N46" s="46" t="str">
        <x:f>IF(OR($G46="",$H46=""),"",IF(AND(N$5&lt;=$H46,N$5+6&gt;=$G46),"■",""))</x:f>
      </x:c>
      <x:c r="O46" s="46" t="str">
        <x:f>IF(OR($G46="",$H46=""),"",IF(AND(O$5&lt;=$H46,O$5+6&gt;=$G46),"■",""))</x:f>
      </x:c>
      <x:c r="P46" s="46" t="str">
        <x:f>IF(OR($G46="",$H46=""),"",IF(AND(P$5&lt;=$H46,P$5+6&gt;=$G46),"■",""))</x:f>
      </x:c>
      <x:c r="Q46" s="46" t="str">
        <x:f>IF(OR($G46="",$H46=""),"",IF(AND(Q$5&lt;=$H46,Q$5+6&gt;=$G46),"■",""))</x:f>
      </x:c>
      <x:c r="R46" s="46" t="str">
        <x:f>IF(OR($G46="",$H46=""),"",IF(AND(R$5&lt;=$H46,R$5+6&gt;=$G46),"■",""))</x:f>
      </x:c>
      <x:c r="S46" s="46" t="str">
        <x:f>IF(OR($G46="",$H46=""),"",IF(AND(S$5&lt;=$H46,S$5+6&gt;=$G46),"■",""))</x:f>
      </x:c>
      <x:c r="T46" s="46" t="str">
        <x:f>IF(OR($G46="",$H46=""),"",IF(AND(T$5&lt;=$H46,T$5+6&gt;=$G46),"■",""))</x:f>
      </x:c>
      <x:c r="U46" s="46" t="str">
        <x:f>IF(OR($G46="",$H46=""),"",IF(AND(U$5&lt;=$H46,U$5+6&gt;=$G46),"■",""))</x:f>
      </x:c>
      <x:c r="V46" s="46" t="str">
        <x:f>IF(OR($G46="",$H46=""),"",IF(AND(V$5&lt;=$H46,V$5+6&gt;=$G46),"■",""))</x:f>
      </x:c>
      <x:c r="W46" s="46" t="str">
        <x:f>IF(OR($G46="",$H46=""),"",IF(AND(W$5&lt;=$H46,W$5+6&gt;=$G46),"■",""))</x:f>
      </x:c>
      <x:c r="X46" s="46" t="str">
        <x:f>IF(OR($G46="",$H46=""),"",IF(AND(X$5&lt;=$H46,X$5+6&gt;=$G46),"■",""))</x:f>
      </x:c>
      <x:c r="Y46" s="46" t="str">
        <x:f>IF(OR($G46="",$H46=""),"",IF(AND(Y$5&lt;=$H46,Y$5+6&gt;=$G46),"■",""))</x:f>
      </x:c>
      <x:c r="Z46" s="46" t="str">
        <x:f>IF(OR($G46="",$H46=""),"",IF(AND(Z$5&lt;=$H46,Z$5+6&gt;=$G46),"■",""))</x:f>
      </x:c>
      <x:c r="AA46" s="46" t="str">
        <x:f>IF(OR($G46="",$H46=""),"",IF(AND(AA$5&lt;=$H46,AA$5+6&gt;=$G46),"■",""))</x:f>
        <x:v>■</x:v>
      </x:c>
      <x:c r="AB46" s="46" t="str">
        <x:f>IF(OR($G46="",$H46=""),"",IF(AND(AB$5&lt;=$H46,AB$5+6&gt;=$G46),"■",""))</x:f>
        <x:v>■</x:v>
      </x:c>
      <x:c r="AC46" s="46" t="str">
        <x:f>IF(OR($G46="",$H46=""),"",IF(AND(AC$5&lt;=$H46,AC$5+6&gt;=$G46),"■",""))</x:f>
        <x:v>■</x:v>
      </x:c>
      <x:c r="AD46" s="46" t="str">
        <x:f>IF(OR($G46="",$H46=""),"",IF(AND(AD$5&lt;=$H46,AD$5+6&gt;=$G46),"■",""))</x:f>
      </x:c>
      <x:c r="AE46" s="46" t="str">
        <x:f>IF(OR($G46="",$H46=""),"",IF(AND(AE$5&lt;=$H46,AE$5+6&gt;=$G46),"■",""))</x:f>
      </x:c>
      <x:c r="AF46" s="46" t="str">
        <x:f>IF(OR($G46="",$H46=""),"",IF(AND(AF$5&lt;=$H46,AF$5+6&gt;=$G46),"■",""))</x:f>
      </x:c>
      <x:c r="AG46" s="46" t="str">
        <x:f>IF(OR($G46="",$H46=""),"",IF(AND(AG$5&lt;=$H46,AG$5+6&gt;=$G46),"■",""))</x:f>
      </x:c>
      <x:c r="AH46" s="46" t="str">
        <x:f>IF(OR($G46="",$H46=""),"",IF(AND(AH$5&lt;=$H46,AH$5+6&gt;=$G46),"■",""))</x:f>
      </x:c>
      <x:c r="AI46" s="46" t="str">
        <x:f>IF(OR($G46="",$H46=""),"",IF(AND(AI$5&lt;=$H46,AI$5+6&gt;=$G46),"■",""))</x:f>
      </x:c>
      <x:c r="AJ46" s="46" t="str">
        <x:f>IF(OR($G46="",$H46=""),"",IF(AND(AJ$5&lt;=$H46,AJ$5+6&gt;=$G46),"■",""))</x:f>
      </x:c>
      <x:c r="AK46" s="46" t="str">
        <x:f>IF(OR($G46="",$H46=""),"",IF(AND(AK$5&lt;=$H46,AK$5+6&gt;=$G46),"■",""))</x:f>
      </x:c>
      <x:c r="AL46" s="46" t="str">
        <x:f>IF(OR($G46="",$H46=""),"",IF(AND(AL$5&lt;=$H46,AL$5+6&gt;=$G46),"■",""))</x:f>
      </x:c>
      <x:c r="AM46" s="46" t="str">
        <x:f>IF(OR($G46="",$H46=""),"",IF(AND(AM$5&lt;=$H46,AM$5+6&gt;=$G46),"■",""))</x:f>
      </x:c>
    </x:row>
    <x:row r="47" ht="28" customHeight="1">
      <x:c r="A47" s="26" t="str">
        <x:v>REL-R6-001</x:v>
      </x:c>
      <x:c r="B47" s="26" t="str">
        <x:v>Text Privacy/Quality/Restore Acceptance</x:v>
      </x:c>
      <x:c r="C47" s="26" t="str">
        <x:v>Backlog</x:v>
      </x:c>
      <x:c r="D47" s="26" t="str">
        <x:v>Incomplete</x:v>
      </x:c>
      <x:c r="E47" s="26" t="str">
        <x:v>No</x:v>
      </x:c>
      <x:c r="F47" s="26" t="str">
        <x:v>R6</x:v>
      </x:c>
      <x:c r="G47" s="35" t="n">
        <x:v>46394</x:v>
      </x:c>
      <x:c r="H47" s="35" t="n">
        <x:v>46395</x:v>
      </x:c>
      <x:c r="I47" s="46" t="str">
        <x:f>IF(OR($G47="",$H47=""),"",IF(AND(I$5&lt;=$H47,I$5+6&gt;=$G47),"■",""))</x:f>
      </x:c>
      <x:c r="J47" s="46" t="str">
        <x:f>IF(OR($G47="",$H47=""),"",IF(AND(J$5&lt;=$H47,J$5+6&gt;=$G47),"■",""))</x:f>
      </x:c>
      <x:c r="K47" s="46" t="str">
        <x:f>IF(OR($G47="",$H47=""),"",IF(AND(K$5&lt;=$H47,K$5+6&gt;=$G47),"■",""))</x:f>
      </x:c>
      <x:c r="L47" s="46" t="str">
        <x:f>IF(OR($G47="",$H47=""),"",IF(AND(L$5&lt;=$H47,L$5+6&gt;=$G47),"■",""))</x:f>
      </x:c>
      <x:c r="M47" s="46" t="str">
        <x:f>IF(OR($G47="",$H47=""),"",IF(AND(M$5&lt;=$H47,M$5+6&gt;=$G47),"■",""))</x:f>
      </x:c>
      <x:c r="N47" s="46" t="str">
        <x:f>IF(OR($G47="",$H47=""),"",IF(AND(N$5&lt;=$H47,N$5+6&gt;=$G47),"■",""))</x:f>
      </x:c>
      <x:c r="O47" s="46" t="str">
        <x:f>IF(OR($G47="",$H47=""),"",IF(AND(O$5&lt;=$H47,O$5+6&gt;=$G47),"■",""))</x:f>
      </x:c>
      <x:c r="P47" s="46" t="str">
        <x:f>IF(OR($G47="",$H47=""),"",IF(AND(P$5&lt;=$H47,P$5+6&gt;=$G47),"■",""))</x:f>
      </x:c>
      <x:c r="Q47" s="46" t="str">
        <x:f>IF(OR($G47="",$H47=""),"",IF(AND(Q$5&lt;=$H47,Q$5+6&gt;=$G47),"■",""))</x:f>
      </x:c>
      <x:c r="R47" s="46" t="str">
        <x:f>IF(OR($G47="",$H47=""),"",IF(AND(R$5&lt;=$H47,R$5+6&gt;=$G47),"■",""))</x:f>
      </x:c>
      <x:c r="S47" s="46" t="str">
        <x:f>IF(OR($G47="",$H47=""),"",IF(AND(S$5&lt;=$H47,S$5+6&gt;=$G47),"■",""))</x:f>
      </x:c>
      <x:c r="T47" s="46" t="str">
        <x:f>IF(OR($G47="",$H47=""),"",IF(AND(T$5&lt;=$H47,T$5+6&gt;=$G47),"■",""))</x:f>
      </x:c>
      <x:c r="U47" s="46" t="str">
        <x:f>IF(OR($G47="",$H47=""),"",IF(AND(U$5&lt;=$H47,U$5+6&gt;=$G47),"■",""))</x:f>
      </x:c>
      <x:c r="V47" s="46" t="str">
        <x:f>IF(OR($G47="",$H47=""),"",IF(AND(V$5&lt;=$H47,V$5+6&gt;=$G47),"■",""))</x:f>
      </x:c>
      <x:c r="W47" s="46" t="str">
        <x:f>IF(OR($G47="",$H47=""),"",IF(AND(W$5&lt;=$H47,W$5+6&gt;=$G47),"■",""))</x:f>
      </x:c>
      <x:c r="X47" s="46" t="str">
        <x:f>IF(OR($G47="",$H47=""),"",IF(AND(X$5&lt;=$H47,X$5+6&gt;=$G47),"■",""))</x:f>
      </x:c>
      <x:c r="Y47" s="46" t="str">
        <x:f>IF(OR($G47="",$H47=""),"",IF(AND(Y$5&lt;=$H47,Y$5+6&gt;=$G47),"■",""))</x:f>
      </x:c>
      <x:c r="Z47" s="46" t="str">
        <x:f>IF(OR($G47="",$H47=""),"",IF(AND(Z$5&lt;=$H47,Z$5+6&gt;=$G47),"■",""))</x:f>
      </x:c>
      <x:c r="AA47" s="46" t="str">
        <x:f>IF(OR($G47="",$H47=""),"",IF(AND(AA$5&lt;=$H47,AA$5+6&gt;=$G47),"■",""))</x:f>
      </x:c>
      <x:c r="AB47" s="46" t="str">
        <x:f>IF(OR($G47="",$H47=""),"",IF(AND(AB$5&lt;=$H47,AB$5+6&gt;=$G47),"■",""))</x:f>
      </x:c>
      <x:c r="AC47" s="46" t="str">
        <x:f>IF(OR($G47="",$H47=""),"",IF(AND(AC$5&lt;=$H47,AC$5+6&gt;=$G47),"■",""))</x:f>
        <x:v>■</x:v>
      </x:c>
      <x:c r="AD47" s="46" t="str">
        <x:f>IF(OR($G47="",$H47=""),"",IF(AND(AD$5&lt;=$H47,AD$5+6&gt;=$G47),"■",""))</x:f>
      </x:c>
      <x:c r="AE47" s="46" t="str">
        <x:f>IF(OR($G47="",$H47=""),"",IF(AND(AE$5&lt;=$H47,AE$5+6&gt;=$G47),"■",""))</x:f>
      </x:c>
      <x:c r="AF47" s="46" t="str">
        <x:f>IF(OR($G47="",$H47=""),"",IF(AND(AF$5&lt;=$H47,AF$5+6&gt;=$G47),"■",""))</x:f>
      </x:c>
      <x:c r="AG47" s="46" t="str">
        <x:f>IF(OR($G47="",$H47=""),"",IF(AND(AG$5&lt;=$H47,AG$5+6&gt;=$G47),"■",""))</x:f>
      </x:c>
      <x:c r="AH47" s="46" t="str">
        <x:f>IF(OR($G47="",$H47=""),"",IF(AND(AH$5&lt;=$H47,AH$5+6&gt;=$G47),"■",""))</x:f>
      </x:c>
      <x:c r="AI47" s="46" t="str">
        <x:f>IF(OR($G47="",$H47=""),"",IF(AND(AI$5&lt;=$H47,AI$5+6&gt;=$G47),"■",""))</x:f>
      </x:c>
      <x:c r="AJ47" s="46" t="str">
        <x:f>IF(OR($G47="",$H47=""),"",IF(AND(AJ$5&lt;=$H47,AJ$5+6&gt;=$G47),"■",""))</x:f>
      </x:c>
      <x:c r="AK47" s="46" t="str">
        <x:f>IF(OR($G47="",$H47=""),"",IF(AND(AK$5&lt;=$H47,AK$5+6&gt;=$G47),"■",""))</x:f>
      </x:c>
      <x:c r="AL47" s="46" t="str">
        <x:f>IF(OR($G47="",$H47=""),"",IF(AND(AL$5&lt;=$H47,AL$5+6&gt;=$G47),"■",""))</x:f>
      </x:c>
      <x:c r="AM47" s="46" t="str">
        <x:f>IF(OR($G47="",$H47=""),"",IF(AND(AM$5&lt;=$H47,AM$5+6&gt;=$G47),"■",""))</x:f>
      </x:c>
    </x:row>
    <x:row r="48" ht="28" customHeight="1">
      <x:c r="A48" s="26" t="str">
        <x:v>EVAL-R7-001</x:v>
      </x:c>
      <x:c r="B48" s="26" t="str">
        <x:v>Artwork Model Evaluation</x:v>
      </x:c>
      <x:c r="C48" s="26" t="str">
        <x:v>Backlog</x:v>
      </x:c>
      <x:c r="D48" s="26" t="str">
        <x:v>Incomplete</x:v>
      </x:c>
      <x:c r="E48" s="26" t="str">
        <x:v>No</x:v>
      </x:c>
      <x:c r="F48" s="26" t="str">
        <x:v>R7</x:v>
      </x:c>
      <x:c r="G48" s="35" t="n">
        <x:v>46398</x:v>
      </x:c>
      <x:c r="H48" s="35" t="n">
        <x:v>46400</x:v>
      </x:c>
      <x:c r="I48" s="46" t="str">
        <x:f>IF(OR($G48="",$H48=""),"",IF(AND(I$5&lt;=$H48,I$5+6&gt;=$G48),"■",""))</x:f>
      </x:c>
      <x:c r="J48" s="46" t="str">
        <x:f>IF(OR($G48="",$H48=""),"",IF(AND(J$5&lt;=$H48,J$5+6&gt;=$G48),"■",""))</x:f>
      </x:c>
      <x:c r="K48" s="46" t="str">
        <x:f>IF(OR($G48="",$H48=""),"",IF(AND(K$5&lt;=$H48,K$5+6&gt;=$G48),"■",""))</x:f>
      </x:c>
      <x:c r="L48" s="46" t="str">
        <x:f>IF(OR($G48="",$H48=""),"",IF(AND(L$5&lt;=$H48,L$5+6&gt;=$G48),"■",""))</x:f>
      </x:c>
      <x:c r="M48" s="46" t="str">
        <x:f>IF(OR($G48="",$H48=""),"",IF(AND(M$5&lt;=$H48,M$5+6&gt;=$G48),"■",""))</x:f>
      </x:c>
      <x:c r="N48" s="46" t="str">
        <x:f>IF(OR($G48="",$H48=""),"",IF(AND(N$5&lt;=$H48,N$5+6&gt;=$G48),"■",""))</x:f>
      </x:c>
      <x:c r="O48" s="46" t="str">
        <x:f>IF(OR($G48="",$H48=""),"",IF(AND(O$5&lt;=$H48,O$5+6&gt;=$G48),"■",""))</x:f>
      </x:c>
      <x:c r="P48" s="46" t="str">
        <x:f>IF(OR($G48="",$H48=""),"",IF(AND(P$5&lt;=$H48,P$5+6&gt;=$G48),"■",""))</x:f>
      </x:c>
      <x:c r="Q48" s="46" t="str">
        <x:f>IF(OR($G48="",$H48=""),"",IF(AND(Q$5&lt;=$H48,Q$5+6&gt;=$G48),"■",""))</x:f>
      </x:c>
      <x:c r="R48" s="46" t="str">
        <x:f>IF(OR($G48="",$H48=""),"",IF(AND(R$5&lt;=$H48,R$5+6&gt;=$G48),"■",""))</x:f>
      </x:c>
      <x:c r="S48" s="46" t="str">
        <x:f>IF(OR($G48="",$H48=""),"",IF(AND(S$5&lt;=$H48,S$5+6&gt;=$G48),"■",""))</x:f>
      </x:c>
      <x:c r="T48" s="46" t="str">
        <x:f>IF(OR($G48="",$H48=""),"",IF(AND(T$5&lt;=$H48,T$5+6&gt;=$G48),"■",""))</x:f>
      </x:c>
      <x:c r="U48" s="46" t="str">
        <x:f>IF(OR($G48="",$H48=""),"",IF(AND(U$5&lt;=$H48,U$5+6&gt;=$G48),"■",""))</x:f>
      </x:c>
      <x:c r="V48" s="46" t="str">
        <x:f>IF(OR($G48="",$H48=""),"",IF(AND(V$5&lt;=$H48,V$5+6&gt;=$G48),"■",""))</x:f>
      </x:c>
      <x:c r="W48" s="46" t="str">
        <x:f>IF(OR($G48="",$H48=""),"",IF(AND(W$5&lt;=$H48,W$5+6&gt;=$G48),"■",""))</x:f>
      </x:c>
      <x:c r="X48" s="46" t="str">
        <x:f>IF(OR($G48="",$H48=""),"",IF(AND(X$5&lt;=$H48,X$5+6&gt;=$G48),"■",""))</x:f>
      </x:c>
      <x:c r="Y48" s="46" t="str">
        <x:f>IF(OR($G48="",$H48=""),"",IF(AND(Y$5&lt;=$H48,Y$5+6&gt;=$G48),"■",""))</x:f>
      </x:c>
      <x:c r="Z48" s="46" t="str">
        <x:f>IF(OR($G48="",$H48=""),"",IF(AND(Z$5&lt;=$H48,Z$5+6&gt;=$G48),"■",""))</x:f>
      </x:c>
      <x:c r="AA48" s="46" t="str">
        <x:f>IF(OR($G48="",$H48=""),"",IF(AND(AA$5&lt;=$H48,AA$5+6&gt;=$G48),"■",""))</x:f>
      </x:c>
      <x:c r="AB48" s="46" t="str">
        <x:f>IF(OR($G48="",$H48=""),"",IF(AND(AB$5&lt;=$H48,AB$5+6&gt;=$G48),"■",""))</x:f>
      </x:c>
      <x:c r="AC48" s="46" t="str">
        <x:f>IF(OR($G48="",$H48=""),"",IF(AND(AC$5&lt;=$H48,AC$5+6&gt;=$G48),"■",""))</x:f>
      </x:c>
      <x:c r="AD48" s="46" t="str">
        <x:f>IF(OR($G48="",$H48=""),"",IF(AND(AD$5&lt;=$H48,AD$5+6&gt;=$G48),"■",""))</x:f>
        <x:v>■</x:v>
      </x:c>
      <x:c r="AE48" s="46" t="str">
        <x:f>IF(OR($G48="",$H48=""),"",IF(AND(AE$5&lt;=$H48,AE$5+6&gt;=$G48),"■",""))</x:f>
      </x:c>
      <x:c r="AF48" s="46" t="str">
        <x:f>IF(OR($G48="",$H48=""),"",IF(AND(AF$5&lt;=$H48,AF$5+6&gt;=$G48),"■",""))</x:f>
      </x:c>
      <x:c r="AG48" s="46" t="str">
        <x:f>IF(OR($G48="",$H48=""),"",IF(AND(AG$5&lt;=$H48,AG$5+6&gt;=$G48),"■",""))</x:f>
      </x:c>
      <x:c r="AH48" s="46" t="str">
        <x:f>IF(OR($G48="",$H48=""),"",IF(AND(AH$5&lt;=$H48,AH$5+6&gt;=$G48),"■",""))</x:f>
      </x:c>
      <x:c r="AI48" s="46" t="str">
        <x:f>IF(OR($G48="",$H48=""),"",IF(AND(AI$5&lt;=$H48,AI$5+6&gt;=$G48),"■",""))</x:f>
      </x:c>
      <x:c r="AJ48" s="46" t="str">
        <x:f>IF(OR($G48="",$H48=""),"",IF(AND(AJ$5&lt;=$H48,AJ$5+6&gt;=$G48),"■",""))</x:f>
      </x:c>
      <x:c r="AK48" s="46" t="str">
        <x:f>IF(OR($G48="",$H48=""),"",IF(AND(AK$5&lt;=$H48,AK$5+6&gt;=$G48),"■",""))</x:f>
      </x:c>
      <x:c r="AL48" s="46" t="str">
        <x:f>IF(OR($G48="",$H48=""),"",IF(AND(AL$5&lt;=$H48,AL$5+6&gt;=$G48),"■",""))</x:f>
      </x:c>
      <x:c r="AM48" s="46" t="str">
        <x:f>IF(OR($G48="",$H48=""),"",IF(AND(AM$5&lt;=$H48,AM$5+6&gt;=$G48),"■",""))</x:f>
      </x:c>
    </x:row>
    <x:row r="49" ht="28" customHeight="1">
      <x:c r="A49" s="26" t="str">
        <x:v>PRD-R7-001</x:v>
      </x:c>
      <x:c r="B49" s="26" t="str">
        <x:v>Artwork PRD</x:v>
      </x:c>
      <x:c r="C49" s="26" t="str">
        <x:v>Done</x:v>
      </x:c>
      <x:c r="D49" s="26" t="str">
        <x:v>Incomplete</x:v>
      </x:c>
      <x:c r="E49" s="26" t="str">
        <x:v>No</x:v>
      </x:c>
      <x:c r="F49" s="26" t="str">
        <x:v>R7</x:v>
      </x:c>
      <x:c r="G49" s="35" t="n">
        <x:v>46398</x:v>
      </x:c>
      <x:c r="H49" s="35" t="n">
        <x:v>46400</x:v>
      </x:c>
      <x:c r="I49" s="46" t="str">
        <x:f>IF(OR($G49="",$H49=""),"",IF(AND(I$5&lt;=$H49,I$5+6&gt;=$G49),"■",""))</x:f>
      </x:c>
      <x:c r="J49" s="46" t="str">
        <x:f>IF(OR($G49="",$H49=""),"",IF(AND(J$5&lt;=$H49,J$5+6&gt;=$G49),"■",""))</x:f>
      </x:c>
      <x:c r="K49" s="46" t="str">
        <x:f>IF(OR($G49="",$H49=""),"",IF(AND(K$5&lt;=$H49,K$5+6&gt;=$G49),"■",""))</x:f>
      </x:c>
      <x:c r="L49" s="46" t="str">
        <x:f>IF(OR($G49="",$H49=""),"",IF(AND(L$5&lt;=$H49,L$5+6&gt;=$G49),"■",""))</x:f>
      </x:c>
      <x:c r="M49" s="46" t="str">
        <x:f>IF(OR($G49="",$H49=""),"",IF(AND(M$5&lt;=$H49,M$5+6&gt;=$G49),"■",""))</x:f>
      </x:c>
      <x:c r="N49" s="46" t="str">
        <x:f>IF(OR($G49="",$H49=""),"",IF(AND(N$5&lt;=$H49,N$5+6&gt;=$G49),"■",""))</x:f>
      </x:c>
      <x:c r="O49" s="46" t="str">
        <x:f>IF(OR($G49="",$H49=""),"",IF(AND(O$5&lt;=$H49,O$5+6&gt;=$G49),"■",""))</x:f>
      </x:c>
      <x:c r="P49" s="46" t="str">
        <x:f>IF(OR($G49="",$H49=""),"",IF(AND(P$5&lt;=$H49,P$5+6&gt;=$G49),"■",""))</x:f>
      </x:c>
      <x:c r="Q49" s="46" t="str">
        <x:f>IF(OR($G49="",$H49=""),"",IF(AND(Q$5&lt;=$H49,Q$5+6&gt;=$G49),"■",""))</x:f>
      </x:c>
      <x:c r="R49" s="46" t="str">
        <x:f>IF(OR($G49="",$H49=""),"",IF(AND(R$5&lt;=$H49,R$5+6&gt;=$G49),"■",""))</x:f>
      </x:c>
      <x:c r="S49" s="46" t="str">
        <x:f>IF(OR($G49="",$H49=""),"",IF(AND(S$5&lt;=$H49,S$5+6&gt;=$G49),"■",""))</x:f>
      </x:c>
      <x:c r="T49" s="46" t="str">
        <x:f>IF(OR($G49="",$H49=""),"",IF(AND(T$5&lt;=$H49,T$5+6&gt;=$G49),"■",""))</x:f>
      </x:c>
      <x:c r="U49" s="46" t="str">
        <x:f>IF(OR($G49="",$H49=""),"",IF(AND(U$5&lt;=$H49,U$5+6&gt;=$G49),"■",""))</x:f>
      </x:c>
      <x:c r="V49" s="46" t="str">
        <x:f>IF(OR($G49="",$H49=""),"",IF(AND(V$5&lt;=$H49,V$5+6&gt;=$G49),"■",""))</x:f>
      </x:c>
      <x:c r="W49" s="46" t="str">
        <x:f>IF(OR($G49="",$H49=""),"",IF(AND(W$5&lt;=$H49,W$5+6&gt;=$G49),"■",""))</x:f>
      </x:c>
      <x:c r="X49" s="46" t="str">
        <x:f>IF(OR($G49="",$H49=""),"",IF(AND(X$5&lt;=$H49,X$5+6&gt;=$G49),"■",""))</x:f>
      </x:c>
      <x:c r="Y49" s="46" t="str">
        <x:f>IF(OR($G49="",$H49=""),"",IF(AND(Y$5&lt;=$H49,Y$5+6&gt;=$G49),"■",""))</x:f>
      </x:c>
      <x:c r="Z49" s="46" t="str">
        <x:f>IF(OR($G49="",$H49=""),"",IF(AND(Z$5&lt;=$H49,Z$5+6&gt;=$G49),"■",""))</x:f>
      </x:c>
      <x:c r="AA49" s="46" t="str">
        <x:f>IF(OR($G49="",$H49=""),"",IF(AND(AA$5&lt;=$H49,AA$5+6&gt;=$G49),"■",""))</x:f>
      </x:c>
      <x:c r="AB49" s="46" t="str">
        <x:f>IF(OR($G49="",$H49=""),"",IF(AND(AB$5&lt;=$H49,AB$5+6&gt;=$G49),"■",""))</x:f>
      </x:c>
      <x:c r="AC49" s="46" t="str">
        <x:f>IF(OR($G49="",$H49=""),"",IF(AND(AC$5&lt;=$H49,AC$5+6&gt;=$G49),"■",""))</x:f>
      </x:c>
      <x:c r="AD49" s="46" t="str">
        <x:f>IF(OR($G49="",$H49=""),"",IF(AND(AD$5&lt;=$H49,AD$5+6&gt;=$G49),"■",""))</x:f>
        <x:v>■</x:v>
      </x:c>
      <x:c r="AE49" s="46" t="str">
        <x:f>IF(OR($G49="",$H49=""),"",IF(AND(AE$5&lt;=$H49,AE$5+6&gt;=$G49),"■",""))</x:f>
      </x:c>
      <x:c r="AF49" s="46" t="str">
        <x:f>IF(OR($G49="",$H49=""),"",IF(AND(AF$5&lt;=$H49,AF$5+6&gt;=$G49),"■",""))</x:f>
      </x:c>
      <x:c r="AG49" s="46" t="str">
        <x:f>IF(OR($G49="",$H49=""),"",IF(AND(AG$5&lt;=$H49,AG$5+6&gt;=$G49),"■",""))</x:f>
      </x:c>
      <x:c r="AH49" s="46" t="str">
        <x:f>IF(OR($G49="",$H49=""),"",IF(AND(AH$5&lt;=$H49,AH$5+6&gt;=$G49),"■",""))</x:f>
      </x:c>
      <x:c r="AI49" s="46" t="str">
        <x:f>IF(OR($G49="",$H49=""),"",IF(AND(AI$5&lt;=$H49,AI$5+6&gt;=$G49),"■",""))</x:f>
      </x:c>
      <x:c r="AJ49" s="46" t="str">
        <x:f>IF(OR($G49="",$H49=""),"",IF(AND(AJ$5&lt;=$H49,AJ$5+6&gt;=$G49),"■",""))</x:f>
      </x:c>
      <x:c r="AK49" s="46" t="str">
        <x:f>IF(OR($G49="",$H49=""),"",IF(AND(AK$5&lt;=$H49,AK$5+6&gt;=$G49),"■",""))</x:f>
      </x:c>
      <x:c r="AL49" s="46" t="str">
        <x:f>IF(OR($G49="",$H49=""),"",IF(AND(AL$5&lt;=$H49,AL$5+6&gt;=$G49),"■",""))</x:f>
      </x:c>
      <x:c r="AM49" s="46" t="str">
        <x:f>IF(OR($G49="",$H49=""),"",IF(AND(AM$5&lt;=$H49,AM$5+6&gt;=$G49),"■",""))</x:f>
      </x:c>
    </x:row>
    <x:row r="50" ht="28" customHeight="1">
      <x:c r="A50" s="26" t="str">
        <x:v>UX-R7-001</x:v>
      </x:c>
      <x:c r="B50" s="26" t="str">
        <x:v>Artwork/Version/Suppression Designs</x:v>
      </x:c>
      <x:c r="C50" s="26" t="str">
        <x:v>Backlog</x:v>
      </x:c>
      <x:c r="D50" s="26" t="str">
        <x:v>Incomplete</x:v>
      </x:c>
      <x:c r="E50" s="26" t="str">
        <x:v>No</x:v>
      </x:c>
      <x:c r="F50" s="26" t="str">
        <x:v>R7</x:v>
      </x:c>
      <x:c r="G50" s="35" t="n">
        <x:v>46399</x:v>
      </x:c>
      <x:c r="H50" s="35" t="n">
        <x:v>46402</x:v>
      </x:c>
      <x:c r="I50" s="46" t="str">
        <x:f>IF(OR($G50="",$H50=""),"",IF(AND(I$5&lt;=$H50,I$5+6&gt;=$G50),"■",""))</x:f>
      </x:c>
      <x:c r="J50" s="46" t="str">
        <x:f>IF(OR($G50="",$H50=""),"",IF(AND(J$5&lt;=$H50,J$5+6&gt;=$G50),"■",""))</x:f>
      </x:c>
      <x:c r="K50" s="46" t="str">
        <x:f>IF(OR($G50="",$H50=""),"",IF(AND(K$5&lt;=$H50,K$5+6&gt;=$G50),"■",""))</x:f>
      </x:c>
      <x:c r="L50" s="46" t="str">
        <x:f>IF(OR($G50="",$H50=""),"",IF(AND(L$5&lt;=$H50,L$5+6&gt;=$G50),"■",""))</x:f>
      </x:c>
      <x:c r="M50" s="46" t="str">
        <x:f>IF(OR($G50="",$H50=""),"",IF(AND(M$5&lt;=$H50,M$5+6&gt;=$G50),"■",""))</x:f>
      </x:c>
      <x:c r="N50" s="46" t="str">
        <x:f>IF(OR($G50="",$H50=""),"",IF(AND(N$5&lt;=$H50,N$5+6&gt;=$G50),"■",""))</x:f>
      </x:c>
      <x:c r="O50" s="46" t="str">
        <x:f>IF(OR($G50="",$H50=""),"",IF(AND(O$5&lt;=$H50,O$5+6&gt;=$G50),"■",""))</x:f>
      </x:c>
      <x:c r="P50" s="46" t="str">
        <x:f>IF(OR($G50="",$H50=""),"",IF(AND(P$5&lt;=$H50,P$5+6&gt;=$G50),"■",""))</x:f>
      </x:c>
      <x:c r="Q50" s="46" t="str">
        <x:f>IF(OR($G50="",$H50=""),"",IF(AND(Q$5&lt;=$H50,Q$5+6&gt;=$G50),"■",""))</x:f>
      </x:c>
      <x:c r="R50" s="46" t="str">
        <x:f>IF(OR($G50="",$H50=""),"",IF(AND(R$5&lt;=$H50,R$5+6&gt;=$G50),"■",""))</x:f>
      </x:c>
      <x:c r="S50" s="46" t="str">
        <x:f>IF(OR($G50="",$H50=""),"",IF(AND(S$5&lt;=$H50,S$5+6&gt;=$G50),"■",""))</x:f>
      </x:c>
      <x:c r="T50" s="46" t="str">
        <x:f>IF(OR($G50="",$H50=""),"",IF(AND(T$5&lt;=$H50,T$5+6&gt;=$G50),"■",""))</x:f>
      </x:c>
      <x:c r="U50" s="46" t="str">
        <x:f>IF(OR($G50="",$H50=""),"",IF(AND(U$5&lt;=$H50,U$5+6&gt;=$G50),"■",""))</x:f>
      </x:c>
      <x:c r="V50" s="46" t="str">
        <x:f>IF(OR($G50="",$H50=""),"",IF(AND(V$5&lt;=$H50,V$5+6&gt;=$G50),"■",""))</x:f>
      </x:c>
      <x:c r="W50" s="46" t="str">
        <x:f>IF(OR($G50="",$H50=""),"",IF(AND(W$5&lt;=$H50,W$5+6&gt;=$G50),"■",""))</x:f>
      </x:c>
      <x:c r="X50" s="46" t="str">
        <x:f>IF(OR($G50="",$H50=""),"",IF(AND(X$5&lt;=$H50,X$5+6&gt;=$G50),"■",""))</x:f>
      </x:c>
      <x:c r="Y50" s="46" t="str">
        <x:f>IF(OR($G50="",$H50=""),"",IF(AND(Y$5&lt;=$H50,Y$5+6&gt;=$G50),"■",""))</x:f>
      </x:c>
      <x:c r="Z50" s="46" t="str">
        <x:f>IF(OR($G50="",$H50=""),"",IF(AND(Z$5&lt;=$H50,Z$5+6&gt;=$G50),"■",""))</x:f>
      </x:c>
      <x:c r="AA50" s="46" t="str">
        <x:f>IF(OR($G50="",$H50=""),"",IF(AND(AA$5&lt;=$H50,AA$5+6&gt;=$G50),"■",""))</x:f>
      </x:c>
      <x:c r="AB50" s="46" t="str">
        <x:f>IF(OR($G50="",$H50=""),"",IF(AND(AB$5&lt;=$H50,AB$5+6&gt;=$G50),"■",""))</x:f>
      </x:c>
      <x:c r="AC50" s="46" t="str">
        <x:f>IF(OR($G50="",$H50=""),"",IF(AND(AC$5&lt;=$H50,AC$5+6&gt;=$G50),"■",""))</x:f>
      </x:c>
      <x:c r="AD50" s="46" t="str">
        <x:f>IF(OR($G50="",$H50=""),"",IF(AND(AD$5&lt;=$H50,AD$5+6&gt;=$G50),"■",""))</x:f>
        <x:v>■</x:v>
      </x:c>
      <x:c r="AE50" s="46" t="str">
        <x:f>IF(OR($G50="",$H50=""),"",IF(AND(AE$5&lt;=$H50,AE$5+6&gt;=$G50),"■",""))</x:f>
      </x:c>
      <x:c r="AF50" s="46" t="str">
        <x:f>IF(OR($G50="",$H50=""),"",IF(AND(AF$5&lt;=$H50,AF$5+6&gt;=$G50),"■",""))</x:f>
      </x:c>
      <x:c r="AG50" s="46" t="str">
        <x:f>IF(OR($G50="",$H50=""),"",IF(AND(AG$5&lt;=$H50,AG$5+6&gt;=$G50),"■",""))</x:f>
      </x:c>
      <x:c r="AH50" s="46" t="str">
        <x:f>IF(OR($G50="",$H50=""),"",IF(AND(AH$5&lt;=$H50,AH$5+6&gt;=$G50),"■",""))</x:f>
      </x:c>
      <x:c r="AI50" s="46" t="str">
        <x:f>IF(OR($G50="",$H50=""),"",IF(AND(AI$5&lt;=$H50,AI$5+6&gt;=$G50),"■",""))</x:f>
      </x:c>
      <x:c r="AJ50" s="46" t="str">
        <x:f>IF(OR($G50="",$H50=""),"",IF(AND(AJ$5&lt;=$H50,AJ$5+6&gt;=$G50),"■",""))</x:f>
      </x:c>
      <x:c r="AK50" s="46" t="str">
        <x:f>IF(OR($G50="",$H50=""),"",IF(AND(AK$5&lt;=$H50,AK$5+6&gt;=$G50),"■",""))</x:f>
      </x:c>
      <x:c r="AL50" s="46" t="str">
        <x:f>IF(OR($G50="",$H50=""),"",IF(AND(AL$5&lt;=$H50,AL$5+6&gt;=$G50),"■",""))</x:f>
      </x:c>
      <x:c r="AM50" s="46" t="str">
        <x:f>IF(OR($G50="",$H50=""),"",IF(AND(AM$5&lt;=$H50,AM$5+6&gt;=$G50),"■",""))</x:f>
      </x:c>
    </x:row>
    <x:row r="51" ht="28" customHeight="1">
      <x:c r="A51" s="26" t="str">
        <x:v>ARCH-R7-001</x:v>
      </x:c>
      <x:c r="B51" s="26" t="str">
        <x:v>Artwork Adapter/Sweep/Budget/Provenance</x:v>
      </x:c>
      <x:c r="C51" s="26" t="str">
        <x:v>Backlog</x:v>
      </x:c>
      <x:c r="D51" s="26" t="str">
        <x:v>Incomplete</x:v>
      </x:c>
      <x:c r="E51" s="26" t="str">
        <x:v>No</x:v>
      </x:c>
      <x:c r="F51" s="26" t="str">
        <x:v>R7</x:v>
      </x:c>
      <x:c r="G51" s="35" t="n">
        <x:v>46399</x:v>
      </x:c>
      <x:c r="H51" s="35" t="n">
        <x:v>46402</x:v>
      </x:c>
      <x:c r="I51" s="46" t="str">
        <x:f>IF(OR($G51="",$H51=""),"",IF(AND(I$5&lt;=$H51,I$5+6&gt;=$G51),"■",""))</x:f>
      </x:c>
      <x:c r="J51" s="46" t="str">
        <x:f>IF(OR($G51="",$H51=""),"",IF(AND(J$5&lt;=$H51,J$5+6&gt;=$G51),"■",""))</x:f>
      </x:c>
      <x:c r="K51" s="46" t="str">
        <x:f>IF(OR($G51="",$H51=""),"",IF(AND(K$5&lt;=$H51,K$5+6&gt;=$G51),"■",""))</x:f>
      </x:c>
      <x:c r="L51" s="46" t="str">
        <x:f>IF(OR($G51="",$H51=""),"",IF(AND(L$5&lt;=$H51,L$5+6&gt;=$G51),"■",""))</x:f>
      </x:c>
      <x:c r="M51" s="46" t="str">
        <x:f>IF(OR($G51="",$H51=""),"",IF(AND(M$5&lt;=$H51,M$5+6&gt;=$G51),"■",""))</x:f>
      </x:c>
      <x:c r="N51" s="46" t="str">
        <x:f>IF(OR($G51="",$H51=""),"",IF(AND(N$5&lt;=$H51,N$5+6&gt;=$G51),"■",""))</x:f>
      </x:c>
      <x:c r="O51" s="46" t="str">
        <x:f>IF(OR($G51="",$H51=""),"",IF(AND(O$5&lt;=$H51,O$5+6&gt;=$G51),"■",""))</x:f>
      </x:c>
      <x:c r="P51" s="46" t="str">
        <x:f>IF(OR($G51="",$H51=""),"",IF(AND(P$5&lt;=$H51,P$5+6&gt;=$G51),"■",""))</x:f>
      </x:c>
      <x:c r="Q51" s="46" t="str">
        <x:f>IF(OR($G51="",$H51=""),"",IF(AND(Q$5&lt;=$H51,Q$5+6&gt;=$G51),"■",""))</x:f>
      </x:c>
      <x:c r="R51" s="46" t="str">
        <x:f>IF(OR($G51="",$H51=""),"",IF(AND(R$5&lt;=$H51,R$5+6&gt;=$G51),"■",""))</x:f>
      </x:c>
      <x:c r="S51" s="46" t="str">
        <x:f>IF(OR($G51="",$H51=""),"",IF(AND(S$5&lt;=$H51,S$5+6&gt;=$G51),"■",""))</x:f>
      </x:c>
      <x:c r="T51" s="46" t="str">
        <x:f>IF(OR($G51="",$H51=""),"",IF(AND(T$5&lt;=$H51,T$5+6&gt;=$G51),"■",""))</x:f>
      </x:c>
      <x:c r="U51" s="46" t="str">
        <x:f>IF(OR($G51="",$H51=""),"",IF(AND(U$5&lt;=$H51,U$5+6&gt;=$G51),"■",""))</x:f>
      </x:c>
      <x:c r="V51" s="46" t="str">
        <x:f>IF(OR($G51="",$H51=""),"",IF(AND(V$5&lt;=$H51,V$5+6&gt;=$G51),"■",""))</x:f>
      </x:c>
      <x:c r="W51" s="46" t="str">
        <x:f>IF(OR($G51="",$H51=""),"",IF(AND(W$5&lt;=$H51,W$5+6&gt;=$G51),"■",""))</x:f>
      </x:c>
      <x:c r="X51" s="46" t="str">
        <x:f>IF(OR($G51="",$H51=""),"",IF(AND(X$5&lt;=$H51,X$5+6&gt;=$G51),"■",""))</x:f>
      </x:c>
      <x:c r="Y51" s="46" t="str">
        <x:f>IF(OR($G51="",$H51=""),"",IF(AND(Y$5&lt;=$H51,Y$5+6&gt;=$G51),"■",""))</x:f>
      </x:c>
      <x:c r="Z51" s="46" t="str">
        <x:f>IF(OR($G51="",$H51=""),"",IF(AND(Z$5&lt;=$H51,Z$5+6&gt;=$G51),"■",""))</x:f>
      </x:c>
      <x:c r="AA51" s="46" t="str">
        <x:f>IF(OR($G51="",$H51=""),"",IF(AND(AA$5&lt;=$H51,AA$5+6&gt;=$G51),"■",""))</x:f>
      </x:c>
      <x:c r="AB51" s="46" t="str">
        <x:f>IF(OR($G51="",$H51=""),"",IF(AND(AB$5&lt;=$H51,AB$5+6&gt;=$G51),"■",""))</x:f>
      </x:c>
      <x:c r="AC51" s="46" t="str">
        <x:f>IF(OR($G51="",$H51=""),"",IF(AND(AC$5&lt;=$H51,AC$5+6&gt;=$G51),"■",""))</x:f>
      </x:c>
      <x:c r="AD51" s="46" t="str">
        <x:f>IF(OR($G51="",$H51=""),"",IF(AND(AD$5&lt;=$H51,AD$5+6&gt;=$G51),"■",""))</x:f>
        <x:v>■</x:v>
      </x:c>
      <x:c r="AE51" s="46" t="str">
        <x:f>IF(OR($G51="",$H51=""),"",IF(AND(AE$5&lt;=$H51,AE$5+6&gt;=$G51),"■",""))</x:f>
      </x:c>
      <x:c r="AF51" s="46" t="str">
        <x:f>IF(OR($G51="",$H51=""),"",IF(AND(AF$5&lt;=$H51,AF$5+6&gt;=$G51),"■",""))</x:f>
      </x:c>
      <x:c r="AG51" s="46" t="str">
        <x:f>IF(OR($G51="",$H51=""),"",IF(AND(AG$5&lt;=$H51,AG$5+6&gt;=$G51),"■",""))</x:f>
      </x:c>
      <x:c r="AH51" s="46" t="str">
        <x:f>IF(OR($G51="",$H51=""),"",IF(AND(AH$5&lt;=$H51,AH$5+6&gt;=$G51),"■",""))</x:f>
      </x:c>
      <x:c r="AI51" s="46" t="str">
        <x:f>IF(OR($G51="",$H51=""),"",IF(AND(AI$5&lt;=$H51,AI$5+6&gt;=$G51),"■",""))</x:f>
      </x:c>
      <x:c r="AJ51" s="46" t="str">
        <x:f>IF(OR($G51="",$H51=""),"",IF(AND(AJ$5&lt;=$H51,AJ$5+6&gt;=$G51),"■",""))</x:f>
      </x:c>
      <x:c r="AK51" s="46" t="str">
        <x:f>IF(OR($G51="",$H51=""),"",IF(AND(AK$5&lt;=$H51,AK$5+6&gt;=$G51),"■",""))</x:f>
      </x:c>
      <x:c r="AL51" s="46" t="str">
        <x:f>IF(OR($G51="",$H51=""),"",IF(AND(AL$5&lt;=$H51,AL$5+6&gt;=$G51),"■",""))</x:f>
      </x:c>
      <x:c r="AM51" s="46" t="str">
        <x:f>IF(OR($G51="",$H51=""),"",IF(AND(AM$5&lt;=$H51,AM$5+6&gt;=$G51),"■",""))</x:f>
      </x:c>
    </x:row>
    <x:row r="52" ht="28" customHeight="1">
      <x:c r="A52" s="26" t="str">
        <x:v>ENG-R7-001</x:v>
      </x:c>
      <x:c r="B52" s="26" t="str">
        <x:v>Manual &amp; Sweep Artwork Lifecycle</x:v>
      </x:c>
      <x:c r="C52" s="26" t="str">
        <x:v>Backlog</x:v>
      </x:c>
      <x:c r="D52" s="26" t="str">
        <x:v>Incomplete</x:v>
      </x:c>
      <x:c r="E52" s="26" t="str">
        <x:v>No</x:v>
      </x:c>
      <x:c r="F52" s="26" t="str">
        <x:v>R7</x:v>
      </x:c>
      <x:c r="G52" s="35" t="n">
        <x:v>46401</x:v>
      </x:c>
      <x:c r="H52" s="35" t="n">
        <x:v>46414</x:v>
      </x:c>
      <x:c r="I52" s="46" t="str">
        <x:f>IF(OR($G52="",$H52=""),"",IF(AND(I$5&lt;=$H52,I$5+6&gt;=$G52),"■",""))</x:f>
      </x:c>
      <x:c r="J52" s="46" t="str">
        <x:f>IF(OR($G52="",$H52=""),"",IF(AND(J$5&lt;=$H52,J$5+6&gt;=$G52),"■",""))</x:f>
      </x:c>
      <x:c r="K52" s="46" t="str">
        <x:f>IF(OR($G52="",$H52=""),"",IF(AND(K$5&lt;=$H52,K$5+6&gt;=$G52),"■",""))</x:f>
      </x:c>
      <x:c r="L52" s="46" t="str">
        <x:f>IF(OR($G52="",$H52=""),"",IF(AND(L$5&lt;=$H52,L$5+6&gt;=$G52),"■",""))</x:f>
      </x:c>
      <x:c r="M52" s="46" t="str">
        <x:f>IF(OR($G52="",$H52=""),"",IF(AND(M$5&lt;=$H52,M$5+6&gt;=$G52),"■",""))</x:f>
      </x:c>
      <x:c r="N52" s="46" t="str">
        <x:f>IF(OR($G52="",$H52=""),"",IF(AND(N$5&lt;=$H52,N$5+6&gt;=$G52),"■",""))</x:f>
      </x:c>
      <x:c r="O52" s="46" t="str">
        <x:f>IF(OR($G52="",$H52=""),"",IF(AND(O$5&lt;=$H52,O$5+6&gt;=$G52),"■",""))</x:f>
      </x:c>
      <x:c r="P52" s="46" t="str">
        <x:f>IF(OR($G52="",$H52=""),"",IF(AND(P$5&lt;=$H52,P$5+6&gt;=$G52),"■",""))</x:f>
      </x:c>
      <x:c r="Q52" s="46" t="str">
        <x:f>IF(OR($G52="",$H52=""),"",IF(AND(Q$5&lt;=$H52,Q$5+6&gt;=$G52),"■",""))</x:f>
      </x:c>
      <x:c r="R52" s="46" t="str">
        <x:f>IF(OR($G52="",$H52=""),"",IF(AND(R$5&lt;=$H52,R$5+6&gt;=$G52),"■",""))</x:f>
      </x:c>
      <x:c r="S52" s="46" t="str">
        <x:f>IF(OR($G52="",$H52=""),"",IF(AND(S$5&lt;=$H52,S$5+6&gt;=$G52),"■",""))</x:f>
      </x:c>
      <x:c r="T52" s="46" t="str">
        <x:f>IF(OR($G52="",$H52=""),"",IF(AND(T$5&lt;=$H52,T$5+6&gt;=$G52),"■",""))</x:f>
      </x:c>
      <x:c r="U52" s="46" t="str">
        <x:f>IF(OR($G52="",$H52=""),"",IF(AND(U$5&lt;=$H52,U$5+6&gt;=$G52),"■",""))</x:f>
      </x:c>
      <x:c r="V52" s="46" t="str">
        <x:f>IF(OR($G52="",$H52=""),"",IF(AND(V$5&lt;=$H52,V$5+6&gt;=$G52),"■",""))</x:f>
      </x:c>
      <x:c r="W52" s="46" t="str">
        <x:f>IF(OR($G52="",$H52=""),"",IF(AND(W$5&lt;=$H52,W$5+6&gt;=$G52),"■",""))</x:f>
      </x:c>
      <x:c r="X52" s="46" t="str">
        <x:f>IF(OR($G52="",$H52=""),"",IF(AND(X$5&lt;=$H52,X$5+6&gt;=$G52),"■",""))</x:f>
      </x:c>
      <x:c r="Y52" s="46" t="str">
        <x:f>IF(OR($G52="",$H52=""),"",IF(AND(Y$5&lt;=$H52,Y$5+6&gt;=$G52),"■",""))</x:f>
      </x:c>
      <x:c r="Z52" s="46" t="str">
        <x:f>IF(OR($G52="",$H52=""),"",IF(AND(Z$5&lt;=$H52,Z$5+6&gt;=$G52),"■",""))</x:f>
      </x:c>
      <x:c r="AA52" s="46" t="str">
        <x:f>IF(OR($G52="",$H52=""),"",IF(AND(AA$5&lt;=$H52,AA$5+6&gt;=$G52),"■",""))</x:f>
      </x:c>
      <x:c r="AB52" s="46" t="str">
        <x:f>IF(OR($G52="",$H52=""),"",IF(AND(AB$5&lt;=$H52,AB$5+6&gt;=$G52),"■",""))</x:f>
      </x:c>
      <x:c r="AC52" s="46" t="str">
        <x:f>IF(OR($G52="",$H52=""),"",IF(AND(AC$5&lt;=$H52,AC$5+6&gt;=$G52),"■",""))</x:f>
      </x:c>
      <x:c r="AD52" s="46" t="str">
        <x:f>IF(OR($G52="",$H52=""),"",IF(AND(AD$5&lt;=$H52,AD$5+6&gt;=$G52),"■",""))</x:f>
        <x:v>■</x:v>
      </x:c>
      <x:c r="AE52" s="46" t="str">
        <x:f>IF(OR($G52="",$H52=""),"",IF(AND(AE$5&lt;=$H52,AE$5+6&gt;=$G52),"■",""))</x:f>
        <x:v>■</x:v>
      </x:c>
      <x:c r="AF52" s="46" t="str">
        <x:f>IF(OR($G52="",$H52=""),"",IF(AND(AF$5&lt;=$H52,AF$5+6&gt;=$G52),"■",""))</x:f>
        <x:v>■</x:v>
      </x:c>
      <x:c r="AG52" s="46" t="str">
        <x:f>IF(OR($G52="",$H52=""),"",IF(AND(AG$5&lt;=$H52,AG$5+6&gt;=$G52),"■",""))</x:f>
      </x:c>
      <x:c r="AH52" s="46" t="str">
        <x:f>IF(OR($G52="",$H52=""),"",IF(AND(AH$5&lt;=$H52,AH$5+6&gt;=$G52),"■",""))</x:f>
      </x:c>
      <x:c r="AI52" s="46" t="str">
        <x:f>IF(OR($G52="",$H52=""),"",IF(AND(AI$5&lt;=$H52,AI$5+6&gt;=$G52),"■",""))</x:f>
      </x:c>
      <x:c r="AJ52" s="46" t="str">
        <x:f>IF(OR($G52="",$H52=""),"",IF(AND(AJ$5&lt;=$H52,AJ$5+6&gt;=$G52),"■",""))</x:f>
      </x:c>
      <x:c r="AK52" s="46" t="str">
        <x:f>IF(OR($G52="",$H52=""),"",IF(AND(AK$5&lt;=$H52,AK$5+6&gt;=$G52),"■",""))</x:f>
      </x:c>
      <x:c r="AL52" s="46" t="str">
        <x:f>IF(OR($G52="",$H52=""),"",IF(AND(AL$5&lt;=$H52,AL$5+6&gt;=$G52),"■",""))</x:f>
      </x:c>
      <x:c r="AM52" s="46" t="str">
        <x:f>IF(OR($G52="",$H52=""),"",IF(AND(AM$5&lt;=$H52,AM$5+6&gt;=$G52),"■",""))</x:f>
      </x:c>
    </x:row>
    <x:row r="53" ht="28" customHeight="1">
      <x:c r="A53" s="26" t="str">
        <x:v>REL-R7-001</x:v>
      </x:c>
      <x:c r="B53" s="26" t="str">
        <x:v>Artwork Privacy/Cover/Restore Acceptance</x:v>
      </x:c>
      <x:c r="C53" s="26" t="str">
        <x:v>Backlog</x:v>
      </x:c>
      <x:c r="D53" s="26" t="str">
        <x:v>Incomplete</x:v>
      </x:c>
      <x:c r="E53" s="26" t="str">
        <x:v>No</x:v>
      </x:c>
      <x:c r="F53" s="26" t="str">
        <x:v>R7</x:v>
      </x:c>
      <x:c r="G53" s="35" t="n">
        <x:v>46415</x:v>
      </x:c>
      <x:c r="H53" s="35" t="n">
        <x:v>46416</x:v>
      </x:c>
      <x:c r="I53" s="46" t="str">
        <x:f>IF(OR($G53="",$H53=""),"",IF(AND(I$5&lt;=$H53,I$5+6&gt;=$G53),"■",""))</x:f>
      </x:c>
      <x:c r="J53" s="46" t="str">
        <x:f>IF(OR($G53="",$H53=""),"",IF(AND(J$5&lt;=$H53,J$5+6&gt;=$G53),"■",""))</x:f>
      </x:c>
      <x:c r="K53" s="46" t="str">
        <x:f>IF(OR($G53="",$H53=""),"",IF(AND(K$5&lt;=$H53,K$5+6&gt;=$G53),"■",""))</x:f>
      </x:c>
      <x:c r="L53" s="46" t="str">
        <x:f>IF(OR($G53="",$H53=""),"",IF(AND(L$5&lt;=$H53,L$5+6&gt;=$G53),"■",""))</x:f>
      </x:c>
      <x:c r="M53" s="46" t="str">
        <x:f>IF(OR($G53="",$H53=""),"",IF(AND(M$5&lt;=$H53,M$5+6&gt;=$G53),"■",""))</x:f>
      </x:c>
      <x:c r="N53" s="46" t="str">
        <x:f>IF(OR($G53="",$H53=""),"",IF(AND(N$5&lt;=$H53,N$5+6&gt;=$G53),"■",""))</x:f>
      </x:c>
      <x:c r="O53" s="46" t="str">
        <x:f>IF(OR($G53="",$H53=""),"",IF(AND(O$5&lt;=$H53,O$5+6&gt;=$G53),"■",""))</x:f>
      </x:c>
      <x:c r="P53" s="46" t="str">
        <x:f>IF(OR($G53="",$H53=""),"",IF(AND(P$5&lt;=$H53,P$5+6&gt;=$G53),"■",""))</x:f>
      </x:c>
      <x:c r="Q53" s="46" t="str">
        <x:f>IF(OR($G53="",$H53=""),"",IF(AND(Q$5&lt;=$H53,Q$5+6&gt;=$G53),"■",""))</x:f>
      </x:c>
      <x:c r="R53" s="46" t="str">
        <x:f>IF(OR($G53="",$H53=""),"",IF(AND(R$5&lt;=$H53,R$5+6&gt;=$G53),"■",""))</x:f>
      </x:c>
      <x:c r="S53" s="46" t="str">
        <x:f>IF(OR($G53="",$H53=""),"",IF(AND(S$5&lt;=$H53,S$5+6&gt;=$G53),"■",""))</x:f>
      </x:c>
      <x:c r="T53" s="46" t="str">
        <x:f>IF(OR($G53="",$H53=""),"",IF(AND(T$5&lt;=$H53,T$5+6&gt;=$G53),"■",""))</x:f>
      </x:c>
      <x:c r="U53" s="46" t="str">
        <x:f>IF(OR($G53="",$H53=""),"",IF(AND(U$5&lt;=$H53,U$5+6&gt;=$G53),"■",""))</x:f>
      </x:c>
      <x:c r="V53" s="46" t="str">
        <x:f>IF(OR($G53="",$H53=""),"",IF(AND(V$5&lt;=$H53,V$5+6&gt;=$G53),"■",""))</x:f>
      </x:c>
      <x:c r="W53" s="46" t="str">
        <x:f>IF(OR($G53="",$H53=""),"",IF(AND(W$5&lt;=$H53,W$5+6&gt;=$G53),"■",""))</x:f>
      </x:c>
      <x:c r="X53" s="46" t="str">
        <x:f>IF(OR($G53="",$H53=""),"",IF(AND(X$5&lt;=$H53,X$5+6&gt;=$G53),"■",""))</x:f>
      </x:c>
      <x:c r="Y53" s="46" t="str">
        <x:f>IF(OR($G53="",$H53=""),"",IF(AND(Y$5&lt;=$H53,Y$5+6&gt;=$G53),"■",""))</x:f>
      </x:c>
      <x:c r="Z53" s="46" t="str">
        <x:f>IF(OR($G53="",$H53=""),"",IF(AND(Z$5&lt;=$H53,Z$5+6&gt;=$G53),"■",""))</x:f>
      </x:c>
      <x:c r="AA53" s="46" t="str">
        <x:f>IF(OR($G53="",$H53=""),"",IF(AND(AA$5&lt;=$H53,AA$5+6&gt;=$G53),"■",""))</x:f>
      </x:c>
      <x:c r="AB53" s="46" t="str">
        <x:f>IF(OR($G53="",$H53=""),"",IF(AND(AB$5&lt;=$H53,AB$5+6&gt;=$G53),"■",""))</x:f>
      </x:c>
      <x:c r="AC53" s="46" t="str">
        <x:f>IF(OR($G53="",$H53=""),"",IF(AND(AC$5&lt;=$H53,AC$5+6&gt;=$G53),"■",""))</x:f>
      </x:c>
      <x:c r="AD53" s="46" t="str">
        <x:f>IF(OR($G53="",$H53=""),"",IF(AND(AD$5&lt;=$H53,AD$5+6&gt;=$G53),"■",""))</x:f>
      </x:c>
      <x:c r="AE53" s="46" t="str">
        <x:f>IF(OR($G53="",$H53=""),"",IF(AND(AE$5&lt;=$H53,AE$5+6&gt;=$G53),"■",""))</x:f>
      </x:c>
      <x:c r="AF53" s="46" t="str">
        <x:f>IF(OR($G53="",$H53=""),"",IF(AND(AF$5&lt;=$H53,AF$5+6&gt;=$G53),"■",""))</x:f>
        <x:v>■</x:v>
      </x:c>
      <x:c r="AG53" s="46" t="str">
        <x:f>IF(OR($G53="",$H53=""),"",IF(AND(AG$5&lt;=$H53,AG$5+6&gt;=$G53),"■",""))</x:f>
      </x:c>
      <x:c r="AH53" s="46" t="str">
        <x:f>IF(OR($G53="",$H53=""),"",IF(AND(AH$5&lt;=$H53,AH$5+6&gt;=$G53),"■",""))</x:f>
      </x:c>
      <x:c r="AI53" s="46" t="str">
        <x:f>IF(OR($G53="",$H53=""),"",IF(AND(AI$5&lt;=$H53,AI$5+6&gt;=$G53),"■",""))</x:f>
      </x:c>
      <x:c r="AJ53" s="46" t="str">
        <x:f>IF(OR($G53="",$H53=""),"",IF(AND(AJ$5&lt;=$H53,AJ$5+6&gt;=$G53),"■",""))</x:f>
      </x:c>
      <x:c r="AK53" s="46" t="str">
        <x:f>IF(OR($G53="",$H53=""),"",IF(AND(AK$5&lt;=$H53,AK$5+6&gt;=$G53),"■",""))</x:f>
      </x:c>
      <x:c r="AL53" s="46" t="str">
        <x:f>IF(OR($G53="",$H53=""),"",IF(AND(AL$5&lt;=$H53,AL$5+6&gt;=$G53),"■",""))</x:f>
      </x:c>
      <x:c r="AM53" s="46" t="str">
        <x:f>IF(OR($G53="",$H53=""),"",IF(AND(AM$5&lt;=$H53,AM$5+6&gt;=$G53),"■",""))</x:f>
      </x:c>
    </x:row>
    <x:row r="54" ht="28" customHeight="1">
      <x:c r="A54" s="26" t="str">
        <x:v>PRD-R8-001</x:v>
      </x:c>
      <x:c r="B54" s="26" t="str">
        <x:v>Resilience PRD</x:v>
      </x:c>
      <x:c r="C54" s="26" t="str">
        <x:v>Done</x:v>
      </x:c>
      <x:c r="D54" s="26" t="str">
        <x:v>Incomplete</x:v>
      </x:c>
      <x:c r="E54" s="26" t="str">
        <x:v>No</x:v>
      </x:c>
      <x:c r="F54" s="26" t="str">
        <x:v>R8</x:v>
      </x:c>
      <x:c r="G54" s="35" t="n">
        <x:v>46419</x:v>
      </x:c>
      <x:c r="H54" s="35" t="n">
        <x:v>46421</x:v>
      </x:c>
      <x:c r="I54" s="46" t="str">
        <x:f>IF(OR($G54="",$H54=""),"",IF(AND(I$5&lt;=$H54,I$5+6&gt;=$G54),"■",""))</x:f>
      </x:c>
      <x:c r="J54" s="46" t="str">
        <x:f>IF(OR($G54="",$H54=""),"",IF(AND(J$5&lt;=$H54,J$5+6&gt;=$G54),"■",""))</x:f>
      </x:c>
      <x:c r="K54" s="46" t="str">
        <x:f>IF(OR($G54="",$H54=""),"",IF(AND(K$5&lt;=$H54,K$5+6&gt;=$G54),"■",""))</x:f>
      </x:c>
      <x:c r="L54" s="46" t="str">
        <x:f>IF(OR($G54="",$H54=""),"",IF(AND(L$5&lt;=$H54,L$5+6&gt;=$G54),"■",""))</x:f>
      </x:c>
      <x:c r="M54" s="46" t="str">
        <x:f>IF(OR($G54="",$H54=""),"",IF(AND(M$5&lt;=$H54,M$5+6&gt;=$G54),"■",""))</x:f>
      </x:c>
      <x:c r="N54" s="46" t="str">
        <x:f>IF(OR($G54="",$H54=""),"",IF(AND(N$5&lt;=$H54,N$5+6&gt;=$G54),"■",""))</x:f>
      </x:c>
      <x:c r="O54" s="46" t="str">
        <x:f>IF(OR($G54="",$H54=""),"",IF(AND(O$5&lt;=$H54,O$5+6&gt;=$G54),"■",""))</x:f>
      </x:c>
      <x:c r="P54" s="46" t="str">
        <x:f>IF(OR($G54="",$H54=""),"",IF(AND(P$5&lt;=$H54,P$5+6&gt;=$G54),"■",""))</x:f>
      </x:c>
      <x:c r="Q54" s="46" t="str">
        <x:f>IF(OR($G54="",$H54=""),"",IF(AND(Q$5&lt;=$H54,Q$5+6&gt;=$G54),"■",""))</x:f>
      </x:c>
      <x:c r="R54" s="46" t="str">
        <x:f>IF(OR($G54="",$H54=""),"",IF(AND(R$5&lt;=$H54,R$5+6&gt;=$G54),"■",""))</x:f>
      </x:c>
      <x:c r="S54" s="46" t="str">
        <x:f>IF(OR($G54="",$H54=""),"",IF(AND(S$5&lt;=$H54,S$5+6&gt;=$G54),"■",""))</x:f>
      </x:c>
      <x:c r="T54" s="46" t="str">
        <x:f>IF(OR($G54="",$H54=""),"",IF(AND(T$5&lt;=$H54,T$5+6&gt;=$G54),"■",""))</x:f>
      </x:c>
      <x:c r="U54" s="46" t="str">
        <x:f>IF(OR($G54="",$H54=""),"",IF(AND(U$5&lt;=$H54,U$5+6&gt;=$G54),"■",""))</x:f>
      </x:c>
      <x:c r="V54" s="46" t="str">
        <x:f>IF(OR($G54="",$H54=""),"",IF(AND(V$5&lt;=$H54,V$5+6&gt;=$G54),"■",""))</x:f>
      </x:c>
      <x:c r="W54" s="46" t="str">
        <x:f>IF(OR($G54="",$H54=""),"",IF(AND(W$5&lt;=$H54,W$5+6&gt;=$G54),"■",""))</x:f>
      </x:c>
      <x:c r="X54" s="46" t="str">
        <x:f>IF(OR($G54="",$H54=""),"",IF(AND(X$5&lt;=$H54,X$5+6&gt;=$G54),"■",""))</x:f>
      </x:c>
      <x:c r="Y54" s="46" t="str">
        <x:f>IF(OR($G54="",$H54=""),"",IF(AND(Y$5&lt;=$H54,Y$5+6&gt;=$G54),"■",""))</x:f>
      </x:c>
      <x:c r="Z54" s="46" t="str">
        <x:f>IF(OR($G54="",$H54=""),"",IF(AND(Z$5&lt;=$H54,Z$5+6&gt;=$G54),"■",""))</x:f>
      </x:c>
      <x:c r="AA54" s="46" t="str">
        <x:f>IF(OR($G54="",$H54=""),"",IF(AND(AA$5&lt;=$H54,AA$5+6&gt;=$G54),"■",""))</x:f>
      </x:c>
      <x:c r="AB54" s="46" t="str">
        <x:f>IF(OR($G54="",$H54=""),"",IF(AND(AB$5&lt;=$H54,AB$5+6&gt;=$G54),"■",""))</x:f>
      </x:c>
      <x:c r="AC54" s="46" t="str">
        <x:f>IF(OR($G54="",$H54=""),"",IF(AND(AC$5&lt;=$H54,AC$5+6&gt;=$G54),"■",""))</x:f>
      </x:c>
      <x:c r="AD54" s="46" t="str">
        <x:f>IF(OR($G54="",$H54=""),"",IF(AND(AD$5&lt;=$H54,AD$5+6&gt;=$G54),"■",""))</x:f>
      </x:c>
      <x:c r="AE54" s="46" t="str">
        <x:f>IF(OR($G54="",$H54=""),"",IF(AND(AE$5&lt;=$H54,AE$5+6&gt;=$G54),"■",""))</x:f>
      </x:c>
      <x:c r="AF54" s="46" t="str">
        <x:f>IF(OR($G54="",$H54=""),"",IF(AND(AF$5&lt;=$H54,AF$5+6&gt;=$G54),"■",""))</x:f>
      </x:c>
      <x:c r="AG54" s="46" t="str">
        <x:f>IF(OR($G54="",$H54=""),"",IF(AND(AG$5&lt;=$H54,AG$5+6&gt;=$G54),"■",""))</x:f>
        <x:v>■</x:v>
      </x:c>
      <x:c r="AH54" s="46" t="str">
        <x:f>IF(OR($G54="",$H54=""),"",IF(AND(AH$5&lt;=$H54,AH$5+6&gt;=$G54),"■",""))</x:f>
      </x:c>
      <x:c r="AI54" s="46" t="str">
        <x:f>IF(OR($G54="",$H54=""),"",IF(AND(AI$5&lt;=$H54,AI$5+6&gt;=$G54),"■",""))</x:f>
      </x:c>
      <x:c r="AJ54" s="46" t="str">
        <x:f>IF(OR($G54="",$H54=""),"",IF(AND(AJ$5&lt;=$H54,AJ$5+6&gt;=$G54),"■",""))</x:f>
      </x:c>
      <x:c r="AK54" s="46" t="str">
        <x:f>IF(OR($G54="",$H54=""),"",IF(AND(AK$5&lt;=$H54,AK$5+6&gt;=$G54),"■",""))</x:f>
      </x:c>
      <x:c r="AL54" s="46" t="str">
        <x:f>IF(OR($G54="",$H54=""),"",IF(AND(AL$5&lt;=$H54,AL$5+6&gt;=$G54),"■",""))</x:f>
      </x:c>
      <x:c r="AM54" s="46" t="str">
        <x:f>IF(OR($G54="",$H54=""),"",IF(AND(AM$5&lt;=$H54,AM$5+6&gt;=$G54),"■",""))</x:f>
      </x:c>
    </x:row>
    <x:row r="55" ht="28" customHeight="1">
      <x:c r="A55" s="26" t="str">
        <x:v>ARCH-R8-001</x:v>
      </x:c>
      <x:c r="B55" s="26" t="str">
        <x:v>Capacity/Health/Alert/Fault Hardening</x:v>
      </x:c>
      <x:c r="C55" s="26" t="str">
        <x:v>Backlog</x:v>
      </x:c>
      <x:c r="D55" s="26" t="str">
        <x:v>Incomplete</x:v>
      </x:c>
      <x:c r="E55" s="26" t="str">
        <x:v>No</x:v>
      </x:c>
      <x:c r="F55" s="26" t="str">
        <x:v>R8</x:v>
      </x:c>
      <x:c r="G55" s="35" t="n">
        <x:v>46419</x:v>
      </x:c>
      <x:c r="H55" s="35" t="n">
        <x:v>46423</x:v>
      </x:c>
      <x:c r="I55" s="46" t="str">
        <x:f>IF(OR($G55="",$H55=""),"",IF(AND(I$5&lt;=$H55,I$5+6&gt;=$G55),"■",""))</x:f>
      </x:c>
      <x:c r="J55" s="46" t="str">
        <x:f>IF(OR($G55="",$H55=""),"",IF(AND(J$5&lt;=$H55,J$5+6&gt;=$G55),"■",""))</x:f>
      </x:c>
      <x:c r="K55" s="46" t="str">
        <x:f>IF(OR($G55="",$H55=""),"",IF(AND(K$5&lt;=$H55,K$5+6&gt;=$G55),"■",""))</x:f>
      </x:c>
      <x:c r="L55" s="46" t="str">
        <x:f>IF(OR($G55="",$H55=""),"",IF(AND(L$5&lt;=$H55,L$5+6&gt;=$G55),"■",""))</x:f>
      </x:c>
      <x:c r="M55" s="46" t="str">
        <x:f>IF(OR($G55="",$H55=""),"",IF(AND(M$5&lt;=$H55,M$5+6&gt;=$G55),"■",""))</x:f>
      </x:c>
      <x:c r="N55" s="46" t="str">
        <x:f>IF(OR($G55="",$H55=""),"",IF(AND(N$5&lt;=$H55,N$5+6&gt;=$G55),"■",""))</x:f>
      </x:c>
      <x:c r="O55" s="46" t="str">
        <x:f>IF(OR($G55="",$H55=""),"",IF(AND(O$5&lt;=$H55,O$5+6&gt;=$G55),"■",""))</x:f>
      </x:c>
      <x:c r="P55" s="46" t="str">
        <x:f>IF(OR($G55="",$H55=""),"",IF(AND(P$5&lt;=$H55,P$5+6&gt;=$G55),"■",""))</x:f>
      </x:c>
      <x:c r="Q55" s="46" t="str">
        <x:f>IF(OR($G55="",$H55=""),"",IF(AND(Q$5&lt;=$H55,Q$5+6&gt;=$G55),"■",""))</x:f>
      </x:c>
      <x:c r="R55" s="46" t="str">
        <x:f>IF(OR($G55="",$H55=""),"",IF(AND(R$5&lt;=$H55,R$5+6&gt;=$G55),"■",""))</x:f>
      </x:c>
      <x:c r="S55" s="46" t="str">
        <x:f>IF(OR($G55="",$H55=""),"",IF(AND(S$5&lt;=$H55,S$5+6&gt;=$G55),"■",""))</x:f>
      </x:c>
      <x:c r="T55" s="46" t="str">
        <x:f>IF(OR($G55="",$H55=""),"",IF(AND(T$5&lt;=$H55,T$5+6&gt;=$G55),"■",""))</x:f>
      </x:c>
      <x:c r="U55" s="46" t="str">
        <x:f>IF(OR($G55="",$H55=""),"",IF(AND(U$5&lt;=$H55,U$5+6&gt;=$G55),"■",""))</x:f>
      </x:c>
      <x:c r="V55" s="46" t="str">
        <x:f>IF(OR($G55="",$H55=""),"",IF(AND(V$5&lt;=$H55,V$5+6&gt;=$G55),"■",""))</x:f>
      </x:c>
      <x:c r="W55" s="46" t="str">
        <x:f>IF(OR($G55="",$H55=""),"",IF(AND(W$5&lt;=$H55,W$5+6&gt;=$G55),"■",""))</x:f>
      </x:c>
      <x:c r="X55" s="46" t="str">
        <x:f>IF(OR($G55="",$H55=""),"",IF(AND(X$5&lt;=$H55,X$5+6&gt;=$G55),"■",""))</x:f>
      </x:c>
      <x:c r="Y55" s="46" t="str">
        <x:f>IF(OR($G55="",$H55=""),"",IF(AND(Y$5&lt;=$H55,Y$5+6&gt;=$G55),"■",""))</x:f>
      </x:c>
      <x:c r="Z55" s="46" t="str">
        <x:f>IF(OR($G55="",$H55=""),"",IF(AND(Z$5&lt;=$H55,Z$5+6&gt;=$G55),"■",""))</x:f>
      </x:c>
      <x:c r="AA55" s="46" t="str">
        <x:f>IF(OR($G55="",$H55=""),"",IF(AND(AA$5&lt;=$H55,AA$5+6&gt;=$G55),"■",""))</x:f>
      </x:c>
      <x:c r="AB55" s="46" t="str">
        <x:f>IF(OR($G55="",$H55=""),"",IF(AND(AB$5&lt;=$H55,AB$5+6&gt;=$G55),"■",""))</x:f>
      </x:c>
      <x:c r="AC55" s="46" t="str">
        <x:f>IF(OR($G55="",$H55=""),"",IF(AND(AC$5&lt;=$H55,AC$5+6&gt;=$G55),"■",""))</x:f>
      </x:c>
      <x:c r="AD55" s="46" t="str">
        <x:f>IF(OR($G55="",$H55=""),"",IF(AND(AD$5&lt;=$H55,AD$5+6&gt;=$G55),"■",""))</x:f>
      </x:c>
      <x:c r="AE55" s="46" t="str">
        <x:f>IF(OR($G55="",$H55=""),"",IF(AND(AE$5&lt;=$H55,AE$5+6&gt;=$G55),"■",""))</x:f>
      </x:c>
      <x:c r="AF55" s="46" t="str">
        <x:f>IF(OR($G55="",$H55=""),"",IF(AND(AF$5&lt;=$H55,AF$5+6&gt;=$G55),"■",""))</x:f>
      </x:c>
      <x:c r="AG55" s="46" t="str">
        <x:f>IF(OR($G55="",$H55=""),"",IF(AND(AG$5&lt;=$H55,AG$5+6&gt;=$G55),"■",""))</x:f>
        <x:v>■</x:v>
      </x:c>
      <x:c r="AH55" s="46" t="str">
        <x:f>IF(OR($G55="",$H55=""),"",IF(AND(AH$5&lt;=$H55,AH$5+6&gt;=$G55),"■",""))</x:f>
      </x:c>
      <x:c r="AI55" s="46" t="str">
        <x:f>IF(OR($G55="",$H55=""),"",IF(AND(AI$5&lt;=$H55,AI$5+6&gt;=$G55),"■",""))</x:f>
      </x:c>
      <x:c r="AJ55" s="46" t="str">
        <x:f>IF(OR($G55="",$H55=""),"",IF(AND(AJ$5&lt;=$H55,AJ$5+6&gt;=$G55),"■",""))</x:f>
      </x:c>
      <x:c r="AK55" s="46" t="str">
        <x:f>IF(OR($G55="",$H55=""),"",IF(AND(AK$5&lt;=$H55,AK$5+6&gt;=$G55),"■",""))</x:f>
      </x:c>
      <x:c r="AL55" s="46" t="str">
        <x:f>IF(OR($G55="",$H55=""),"",IF(AND(AL$5&lt;=$H55,AL$5+6&gt;=$G55),"■",""))</x:f>
      </x:c>
      <x:c r="AM55" s="46" t="str">
        <x:f>IF(OR($G55="",$H55=""),"",IF(AND(AM$5&lt;=$H55,AM$5+6&gt;=$G55),"■",""))</x:f>
      </x:c>
    </x:row>
    <x:row r="56" ht="28" customHeight="1">
      <x:c r="A56" s="26" t="str">
        <x:v>QA-R8-001</x:v>
      </x:c>
      <x:c r="B56" s="26" t="str">
        <x:v>Integrated Fault/Security/Browser/Accessibility Suite</x:v>
      </x:c>
      <x:c r="C56" s="26" t="str">
        <x:v>Backlog</x:v>
      </x:c>
      <x:c r="D56" s="26" t="str">
        <x:v>Incomplete</x:v>
      </x:c>
      <x:c r="E56" s="26" t="str">
        <x:v>No</x:v>
      </x:c>
      <x:c r="F56" s="26" t="str">
        <x:v>R8</x:v>
      </x:c>
      <x:c r="G56" s="35" t="n">
        <x:v>46422</x:v>
      </x:c>
      <x:c r="H56" s="35" t="n">
        <x:v>46435</x:v>
      </x:c>
      <x:c r="I56" s="46" t="str">
        <x:f>IF(OR($G56="",$H56=""),"",IF(AND(I$5&lt;=$H56,I$5+6&gt;=$G56),"■",""))</x:f>
      </x:c>
      <x:c r="J56" s="46" t="str">
        <x:f>IF(OR($G56="",$H56=""),"",IF(AND(J$5&lt;=$H56,J$5+6&gt;=$G56),"■",""))</x:f>
      </x:c>
      <x:c r="K56" s="46" t="str">
        <x:f>IF(OR($G56="",$H56=""),"",IF(AND(K$5&lt;=$H56,K$5+6&gt;=$G56),"■",""))</x:f>
      </x:c>
      <x:c r="L56" s="46" t="str">
        <x:f>IF(OR($G56="",$H56=""),"",IF(AND(L$5&lt;=$H56,L$5+6&gt;=$G56),"■",""))</x:f>
      </x:c>
      <x:c r="M56" s="46" t="str">
        <x:f>IF(OR($G56="",$H56=""),"",IF(AND(M$5&lt;=$H56,M$5+6&gt;=$G56),"■",""))</x:f>
      </x:c>
      <x:c r="N56" s="46" t="str">
        <x:f>IF(OR($G56="",$H56=""),"",IF(AND(N$5&lt;=$H56,N$5+6&gt;=$G56),"■",""))</x:f>
      </x:c>
      <x:c r="O56" s="46" t="str">
        <x:f>IF(OR($G56="",$H56=""),"",IF(AND(O$5&lt;=$H56,O$5+6&gt;=$G56),"■",""))</x:f>
      </x:c>
      <x:c r="P56" s="46" t="str">
        <x:f>IF(OR($G56="",$H56=""),"",IF(AND(P$5&lt;=$H56,P$5+6&gt;=$G56),"■",""))</x:f>
      </x:c>
      <x:c r="Q56" s="46" t="str">
        <x:f>IF(OR($G56="",$H56=""),"",IF(AND(Q$5&lt;=$H56,Q$5+6&gt;=$G56),"■",""))</x:f>
      </x:c>
      <x:c r="R56" s="46" t="str">
        <x:f>IF(OR($G56="",$H56=""),"",IF(AND(R$5&lt;=$H56,R$5+6&gt;=$G56),"■",""))</x:f>
      </x:c>
      <x:c r="S56" s="46" t="str">
        <x:f>IF(OR($G56="",$H56=""),"",IF(AND(S$5&lt;=$H56,S$5+6&gt;=$G56),"■",""))</x:f>
      </x:c>
      <x:c r="T56" s="46" t="str">
        <x:f>IF(OR($G56="",$H56=""),"",IF(AND(T$5&lt;=$H56,T$5+6&gt;=$G56),"■",""))</x:f>
      </x:c>
      <x:c r="U56" s="46" t="str">
        <x:f>IF(OR($G56="",$H56=""),"",IF(AND(U$5&lt;=$H56,U$5+6&gt;=$G56),"■",""))</x:f>
      </x:c>
      <x:c r="V56" s="46" t="str">
        <x:f>IF(OR($G56="",$H56=""),"",IF(AND(V$5&lt;=$H56,V$5+6&gt;=$G56),"■",""))</x:f>
      </x:c>
      <x:c r="W56" s="46" t="str">
        <x:f>IF(OR($G56="",$H56=""),"",IF(AND(W$5&lt;=$H56,W$5+6&gt;=$G56),"■",""))</x:f>
      </x:c>
      <x:c r="X56" s="46" t="str">
        <x:f>IF(OR($G56="",$H56=""),"",IF(AND(X$5&lt;=$H56,X$5+6&gt;=$G56),"■",""))</x:f>
      </x:c>
      <x:c r="Y56" s="46" t="str">
        <x:f>IF(OR($G56="",$H56=""),"",IF(AND(Y$5&lt;=$H56,Y$5+6&gt;=$G56),"■",""))</x:f>
      </x:c>
      <x:c r="Z56" s="46" t="str">
        <x:f>IF(OR($G56="",$H56=""),"",IF(AND(Z$5&lt;=$H56,Z$5+6&gt;=$G56),"■",""))</x:f>
      </x:c>
      <x:c r="AA56" s="46" t="str">
        <x:f>IF(OR($G56="",$H56=""),"",IF(AND(AA$5&lt;=$H56,AA$5+6&gt;=$G56),"■",""))</x:f>
      </x:c>
      <x:c r="AB56" s="46" t="str">
        <x:f>IF(OR($G56="",$H56=""),"",IF(AND(AB$5&lt;=$H56,AB$5+6&gt;=$G56),"■",""))</x:f>
      </x:c>
      <x:c r="AC56" s="46" t="str">
        <x:f>IF(OR($G56="",$H56=""),"",IF(AND(AC$5&lt;=$H56,AC$5+6&gt;=$G56),"■",""))</x:f>
      </x:c>
      <x:c r="AD56" s="46" t="str">
        <x:f>IF(OR($G56="",$H56=""),"",IF(AND(AD$5&lt;=$H56,AD$5+6&gt;=$G56),"■",""))</x:f>
      </x:c>
      <x:c r="AE56" s="46" t="str">
        <x:f>IF(OR($G56="",$H56=""),"",IF(AND(AE$5&lt;=$H56,AE$5+6&gt;=$G56),"■",""))</x:f>
      </x:c>
      <x:c r="AF56" s="46" t="str">
        <x:f>IF(OR($G56="",$H56=""),"",IF(AND(AF$5&lt;=$H56,AF$5+6&gt;=$G56),"■",""))</x:f>
      </x:c>
      <x:c r="AG56" s="46" t="str">
        <x:f>IF(OR($G56="",$H56=""),"",IF(AND(AG$5&lt;=$H56,AG$5+6&gt;=$G56),"■",""))</x:f>
        <x:v>■</x:v>
      </x:c>
      <x:c r="AH56" s="46" t="str">
        <x:f>IF(OR($G56="",$H56=""),"",IF(AND(AH$5&lt;=$H56,AH$5+6&gt;=$G56),"■",""))</x:f>
        <x:v>■</x:v>
      </x:c>
      <x:c r="AI56" s="46" t="str">
        <x:f>IF(OR($G56="",$H56=""),"",IF(AND(AI$5&lt;=$H56,AI$5+6&gt;=$G56),"■",""))</x:f>
        <x:v>■</x:v>
      </x:c>
      <x:c r="AJ56" s="46" t="str">
        <x:f>IF(OR($G56="",$H56=""),"",IF(AND(AJ$5&lt;=$H56,AJ$5+6&gt;=$G56),"■",""))</x:f>
      </x:c>
      <x:c r="AK56" s="46" t="str">
        <x:f>IF(OR($G56="",$H56=""),"",IF(AND(AK$5&lt;=$H56,AK$5+6&gt;=$G56),"■",""))</x:f>
      </x:c>
      <x:c r="AL56" s="46" t="str">
        <x:f>IF(OR($G56="",$H56=""),"",IF(AND(AL$5&lt;=$H56,AL$5+6&gt;=$G56),"■",""))</x:f>
      </x:c>
      <x:c r="AM56" s="46" t="str">
        <x:f>IF(OR($G56="",$H56=""),"",IF(AND(AM$5&lt;=$H56,AM$5+6&gt;=$G56),"■",""))</x:f>
      </x:c>
    </x:row>
    <x:row r="57" ht="28" customHeight="1">
      <x:c r="A57" s="26" t="str">
        <x:v>REL-R8-001</x:v>
      </x:c>
      <x:c r="B57" s="26" t="str">
        <x:v>Resilience Release Acceptance</x:v>
      </x:c>
      <x:c r="C57" s="26" t="str">
        <x:v>Backlog</x:v>
      </x:c>
      <x:c r="D57" s="26" t="str">
        <x:v>Incomplete</x:v>
      </x:c>
      <x:c r="E57" s="26" t="str">
        <x:v>No</x:v>
      </x:c>
      <x:c r="F57" s="26" t="str">
        <x:v>R8</x:v>
      </x:c>
      <x:c r="G57" s="35" t="n">
        <x:v>46436</x:v>
      </x:c>
      <x:c r="H57" s="35" t="n">
        <x:v>46437</x:v>
      </x:c>
      <x:c r="I57" s="46" t="str">
        <x:f>IF(OR($G57="",$H57=""),"",IF(AND(I$5&lt;=$H57,I$5+6&gt;=$G57),"■",""))</x:f>
      </x:c>
      <x:c r="J57" s="46" t="str">
        <x:f>IF(OR($G57="",$H57=""),"",IF(AND(J$5&lt;=$H57,J$5+6&gt;=$G57),"■",""))</x:f>
      </x:c>
      <x:c r="K57" s="46" t="str">
        <x:f>IF(OR($G57="",$H57=""),"",IF(AND(K$5&lt;=$H57,K$5+6&gt;=$G57),"■",""))</x:f>
      </x:c>
      <x:c r="L57" s="46" t="str">
        <x:f>IF(OR($G57="",$H57=""),"",IF(AND(L$5&lt;=$H57,L$5+6&gt;=$G57),"■",""))</x:f>
      </x:c>
      <x:c r="M57" s="46" t="str">
        <x:f>IF(OR($G57="",$H57=""),"",IF(AND(M$5&lt;=$H57,M$5+6&gt;=$G57),"■",""))</x:f>
      </x:c>
      <x:c r="N57" s="46" t="str">
        <x:f>IF(OR($G57="",$H57=""),"",IF(AND(N$5&lt;=$H57,N$5+6&gt;=$G57),"■",""))</x:f>
      </x:c>
      <x:c r="O57" s="46" t="str">
        <x:f>IF(OR($G57="",$H57=""),"",IF(AND(O$5&lt;=$H57,O$5+6&gt;=$G57),"■",""))</x:f>
      </x:c>
      <x:c r="P57" s="46" t="str">
        <x:f>IF(OR($G57="",$H57=""),"",IF(AND(P$5&lt;=$H57,P$5+6&gt;=$G57),"■",""))</x:f>
      </x:c>
      <x:c r="Q57" s="46" t="str">
        <x:f>IF(OR($G57="",$H57=""),"",IF(AND(Q$5&lt;=$H57,Q$5+6&gt;=$G57),"■",""))</x:f>
      </x:c>
      <x:c r="R57" s="46" t="str">
        <x:f>IF(OR($G57="",$H57=""),"",IF(AND(R$5&lt;=$H57,R$5+6&gt;=$G57),"■",""))</x:f>
      </x:c>
      <x:c r="S57" s="46" t="str">
        <x:f>IF(OR($G57="",$H57=""),"",IF(AND(S$5&lt;=$H57,S$5+6&gt;=$G57),"■",""))</x:f>
      </x:c>
      <x:c r="T57" s="46" t="str">
        <x:f>IF(OR($G57="",$H57=""),"",IF(AND(T$5&lt;=$H57,T$5+6&gt;=$G57),"■",""))</x:f>
      </x:c>
      <x:c r="U57" s="46" t="str">
        <x:f>IF(OR($G57="",$H57=""),"",IF(AND(U$5&lt;=$H57,U$5+6&gt;=$G57),"■",""))</x:f>
      </x:c>
      <x:c r="V57" s="46" t="str">
        <x:f>IF(OR($G57="",$H57=""),"",IF(AND(V$5&lt;=$H57,V$5+6&gt;=$G57),"■",""))</x:f>
      </x:c>
      <x:c r="W57" s="46" t="str">
        <x:f>IF(OR($G57="",$H57=""),"",IF(AND(W$5&lt;=$H57,W$5+6&gt;=$G57),"■",""))</x:f>
      </x:c>
      <x:c r="X57" s="46" t="str">
        <x:f>IF(OR($G57="",$H57=""),"",IF(AND(X$5&lt;=$H57,X$5+6&gt;=$G57),"■",""))</x:f>
      </x:c>
      <x:c r="Y57" s="46" t="str">
        <x:f>IF(OR($G57="",$H57=""),"",IF(AND(Y$5&lt;=$H57,Y$5+6&gt;=$G57),"■",""))</x:f>
      </x:c>
      <x:c r="Z57" s="46" t="str">
        <x:f>IF(OR($G57="",$H57=""),"",IF(AND(Z$5&lt;=$H57,Z$5+6&gt;=$G57),"■",""))</x:f>
      </x:c>
      <x:c r="AA57" s="46" t="str">
        <x:f>IF(OR($G57="",$H57=""),"",IF(AND(AA$5&lt;=$H57,AA$5+6&gt;=$G57),"■",""))</x:f>
      </x:c>
      <x:c r="AB57" s="46" t="str">
        <x:f>IF(OR($G57="",$H57=""),"",IF(AND(AB$5&lt;=$H57,AB$5+6&gt;=$G57),"■",""))</x:f>
      </x:c>
      <x:c r="AC57" s="46" t="str">
        <x:f>IF(OR($G57="",$H57=""),"",IF(AND(AC$5&lt;=$H57,AC$5+6&gt;=$G57),"■",""))</x:f>
      </x:c>
      <x:c r="AD57" s="46" t="str">
        <x:f>IF(OR($G57="",$H57=""),"",IF(AND(AD$5&lt;=$H57,AD$5+6&gt;=$G57),"■",""))</x:f>
      </x:c>
      <x:c r="AE57" s="46" t="str">
        <x:f>IF(OR($G57="",$H57=""),"",IF(AND(AE$5&lt;=$H57,AE$5+6&gt;=$G57),"■",""))</x:f>
      </x:c>
      <x:c r="AF57" s="46" t="str">
        <x:f>IF(OR($G57="",$H57=""),"",IF(AND(AF$5&lt;=$H57,AF$5+6&gt;=$G57),"■",""))</x:f>
      </x:c>
      <x:c r="AG57" s="46" t="str">
        <x:f>IF(OR($G57="",$H57=""),"",IF(AND(AG$5&lt;=$H57,AG$5+6&gt;=$G57),"■",""))</x:f>
      </x:c>
      <x:c r="AH57" s="46" t="str">
        <x:f>IF(OR($G57="",$H57=""),"",IF(AND(AH$5&lt;=$H57,AH$5+6&gt;=$G57),"■",""))</x:f>
      </x:c>
      <x:c r="AI57" s="46" t="str">
        <x:f>IF(OR($G57="",$H57=""),"",IF(AND(AI$5&lt;=$H57,AI$5+6&gt;=$G57),"■",""))</x:f>
        <x:v>■</x:v>
      </x:c>
      <x:c r="AJ57" s="46" t="str">
        <x:f>IF(OR($G57="",$H57=""),"",IF(AND(AJ$5&lt;=$H57,AJ$5+6&gt;=$G57),"■",""))</x:f>
      </x:c>
      <x:c r="AK57" s="46" t="str">
        <x:f>IF(OR($G57="",$H57=""),"",IF(AND(AK$5&lt;=$H57,AK$5+6&gt;=$G57),"■",""))</x:f>
      </x:c>
      <x:c r="AL57" s="46" t="str">
        <x:f>IF(OR($G57="",$H57=""),"",IF(AND(AL$5&lt;=$H57,AL$5+6&gt;=$G57),"■",""))</x:f>
      </x:c>
      <x:c r="AM57" s="46" t="str">
        <x:f>IF(OR($G57="",$H57=""),"",IF(AND(AM$5&lt;=$H57,AM$5+6&gt;=$G57),"■",""))</x:f>
      </x:c>
    </x:row>
    <x:row r="58" ht="28" customHeight="1">
      <x:c r="A58" s="26" t="str">
        <x:v>PRD-R9-001</x:v>
      </x:c>
      <x:c r="B58" s="26" t="str">
        <x:v>Launch Acceptance Plan</x:v>
      </x:c>
      <x:c r="C58" s="26" t="str">
        <x:v>Done</x:v>
      </x:c>
      <x:c r="D58" s="26" t="str">
        <x:v>Incomplete</x:v>
      </x:c>
      <x:c r="E58" s="26" t="str">
        <x:v>No</x:v>
      </x:c>
      <x:c r="F58" s="26" t="str">
        <x:v>R9</x:v>
      </x:c>
      <x:c r="G58" s="35" t="n">
        <x:v>46440</x:v>
      </x:c>
      <x:c r="H58" s="35" t="n">
        <x:v>46442</x:v>
      </x:c>
      <x:c r="I58" s="46" t="str">
        <x:f>IF(OR($G58="",$H58=""),"",IF(AND(I$5&lt;=$H58,I$5+6&gt;=$G58),"■",""))</x:f>
      </x:c>
      <x:c r="J58" s="46" t="str">
        <x:f>IF(OR($G58="",$H58=""),"",IF(AND(J$5&lt;=$H58,J$5+6&gt;=$G58),"■",""))</x:f>
      </x:c>
      <x:c r="K58" s="46" t="str">
        <x:f>IF(OR($G58="",$H58=""),"",IF(AND(K$5&lt;=$H58,K$5+6&gt;=$G58),"■",""))</x:f>
      </x:c>
      <x:c r="L58" s="46" t="str">
        <x:f>IF(OR($G58="",$H58=""),"",IF(AND(L$5&lt;=$H58,L$5+6&gt;=$G58),"■",""))</x:f>
      </x:c>
      <x:c r="M58" s="46" t="str">
        <x:f>IF(OR($G58="",$H58=""),"",IF(AND(M$5&lt;=$H58,M$5+6&gt;=$G58),"■",""))</x:f>
      </x:c>
      <x:c r="N58" s="46" t="str">
        <x:f>IF(OR($G58="",$H58=""),"",IF(AND(N$5&lt;=$H58,N$5+6&gt;=$G58),"■",""))</x:f>
      </x:c>
      <x:c r="O58" s="46" t="str">
        <x:f>IF(OR($G58="",$H58=""),"",IF(AND(O$5&lt;=$H58,O$5+6&gt;=$G58),"■",""))</x:f>
      </x:c>
      <x:c r="P58" s="46" t="str">
        <x:f>IF(OR($G58="",$H58=""),"",IF(AND(P$5&lt;=$H58,P$5+6&gt;=$G58),"■",""))</x:f>
      </x:c>
      <x:c r="Q58" s="46" t="str">
        <x:f>IF(OR($G58="",$H58=""),"",IF(AND(Q$5&lt;=$H58,Q$5+6&gt;=$G58),"■",""))</x:f>
      </x:c>
      <x:c r="R58" s="46" t="str">
        <x:f>IF(OR($G58="",$H58=""),"",IF(AND(R$5&lt;=$H58,R$5+6&gt;=$G58),"■",""))</x:f>
      </x:c>
      <x:c r="S58" s="46" t="str">
        <x:f>IF(OR($G58="",$H58=""),"",IF(AND(S$5&lt;=$H58,S$5+6&gt;=$G58),"■",""))</x:f>
      </x:c>
      <x:c r="T58" s="46" t="str">
        <x:f>IF(OR($G58="",$H58=""),"",IF(AND(T$5&lt;=$H58,T$5+6&gt;=$G58),"■",""))</x:f>
      </x:c>
      <x:c r="U58" s="46" t="str">
        <x:f>IF(OR($G58="",$H58=""),"",IF(AND(U$5&lt;=$H58,U$5+6&gt;=$G58),"■",""))</x:f>
      </x:c>
      <x:c r="V58" s="46" t="str">
        <x:f>IF(OR($G58="",$H58=""),"",IF(AND(V$5&lt;=$H58,V$5+6&gt;=$G58),"■",""))</x:f>
      </x:c>
      <x:c r="W58" s="46" t="str">
        <x:f>IF(OR($G58="",$H58=""),"",IF(AND(W$5&lt;=$H58,W$5+6&gt;=$G58),"■",""))</x:f>
      </x:c>
      <x:c r="X58" s="46" t="str">
        <x:f>IF(OR($G58="",$H58=""),"",IF(AND(X$5&lt;=$H58,X$5+6&gt;=$G58),"■",""))</x:f>
      </x:c>
      <x:c r="Y58" s="46" t="str">
        <x:f>IF(OR($G58="",$H58=""),"",IF(AND(Y$5&lt;=$H58,Y$5+6&gt;=$G58),"■",""))</x:f>
      </x:c>
      <x:c r="Z58" s="46" t="str">
        <x:f>IF(OR($G58="",$H58=""),"",IF(AND(Z$5&lt;=$H58,Z$5+6&gt;=$G58),"■",""))</x:f>
      </x:c>
      <x:c r="AA58" s="46" t="str">
        <x:f>IF(OR($G58="",$H58=""),"",IF(AND(AA$5&lt;=$H58,AA$5+6&gt;=$G58),"■",""))</x:f>
      </x:c>
      <x:c r="AB58" s="46" t="str">
        <x:f>IF(OR($G58="",$H58=""),"",IF(AND(AB$5&lt;=$H58,AB$5+6&gt;=$G58),"■",""))</x:f>
      </x:c>
      <x:c r="AC58" s="46" t="str">
        <x:f>IF(OR($G58="",$H58=""),"",IF(AND(AC$5&lt;=$H58,AC$5+6&gt;=$G58),"■",""))</x:f>
      </x:c>
      <x:c r="AD58" s="46" t="str">
        <x:f>IF(OR($G58="",$H58=""),"",IF(AND(AD$5&lt;=$H58,AD$5+6&gt;=$G58),"■",""))</x:f>
      </x:c>
      <x:c r="AE58" s="46" t="str">
        <x:f>IF(OR($G58="",$H58=""),"",IF(AND(AE$5&lt;=$H58,AE$5+6&gt;=$G58),"■",""))</x:f>
      </x:c>
      <x:c r="AF58" s="46" t="str">
        <x:f>IF(OR($G58="",$H58=""),"",IF(AND(AF$5&lt;=$H58,AF$5+6&gt;=$G58),"■",""))</x:f>
      </x:c>
      <x:c r="AG58" s="46" t="str">
        <x:f>IF(OR($G58="",$H58=""),"",IF(AND(AG$5&lt;=$H58,AG$5+6&gt;=$G58),"■",""))</x:f>
      </x:c>
      <x:c r="AH58" s="46" t="str">
        <x:f>IF(OR($G58="",$H58=""),"",IF(AND(AH$5&lt;=$H58,AH$5+6&gt;=$G58),"■",""))</x:f>
      </x:c>
      <x:c r="AI58" s="46" t="str">
        <x:f>IF(OR($G58="",$H58=""),"",IF(AND(AI$5&lt;=$H58,AI$5+6&gt;=$G58),"■",""))</x:f>
      </x:c>
      <x:c r="AJ58" s="46" t="str">
        <x:f>IF(OR($G58="",$H58=""),"",IF(AND(AJ$5&lt;=$H58,AJ$5+6&gt;=$G58),"■",""))</x:f>
        <x:v>■</x:v>
      </x:c>
      <x:c r="AK58" s="46" t="str">
        <x:f>IF(OR($G58="",$H58=""),"",IF(AND(AK$5&lt;=$H58,AK$5+6&gt;=$G58),"■",""))</x:f>
      </x:c>
      <x:c r="AL58" s="46" t="str">
        <x:f>IF(OR($G58="",$H58=""),"",IF(AND(AL$5&lt;=$H58,AL$5+6&gt;=$G58),"■",""))</x:f>
      </x:c>
      <x:c r="AM58" s="46" t="str">
        <x:f>IF(OR($G58="",$H58=""),"",IF(AND(AM$5&lt;=$H58,AM$5+6&gt;=$G58),"■",""))</x:f>
      </x:c>
    </x:row>
    <x:row r="59" ht="28" customHeight="1">
      <x:c r="A59" s="26" t="str">
        <x:v>QA-R9-001</x:v>
      </x:c>
      <x:c r="B59" s="26" t="str">
        <x:v>Owner UAT/Recovery Ceremony/Stabilization</x:v>
      </x:c>
      <x:c r="C59" s="26" t="str">
        <x:v>Backlog</x:v>
      </x:c>
      <x:c r="D59" s="26" t="str">
        <x:v>Incomplete</x:v>
      </x:c>
      <x:c r="E59" s="26" t="str">
        <x:v>No</x:v>
      </x:c>
      <x:c r="F59" s="26" t="str">
        <x:v>R9</x:v>
      </x:c>
      <x:c r="G59" s="35" t="n">
        <x:v>46440</x:v>
      </x:c>
      <x:c r="H59" s="35" t="n">
        <x:v>46456</x:v>
      </x:c>
      <x:c r="I59" s="46" t="str">
        <x:f>IF(OR($G59="",$H59=""),"",IF(AND(I$5&lt;=$H59,I$5+6&gt;=$G59),"■",""))</x:f>
      </x:c>
      <x:c r="J59" s="46" t="str">
        <x:f>IF(OR($G59="",$H59=""),"",IF(AND(J$5&lt;=$H59,J$5+6&gt;=$G59),"■",""))</x:f>
      </x:c>
      <x:c r="K59" s="46" t="str">
        <x:f>IF(OR($G59="",$H59=""),"",IF(AND(K$5&lt;=$H59,K$5+6&gt;=$G59),"■",""))</x:f>
      </x:c>
      <x:c r="L59" s="46" t="str">
        <x:f>IF(OR($G59="",$H59=""),"",IF(AND(L$5&lt;=$H59,L$5+6&gt;=$G59),"■",""))</x:f>
      </x:c>
      <x:c r="M59" s="46" t="str">
        <x:f>IF(OR($G59="",$H59=""),"",IF(AND(M$5&lt;=$H59,M$5+6&gt;=$G59),"■",""))</x:f>
      </x:c>
      <x:c r="N59" s="46" t="str">
        <x:f>IF(OR($G59="",$H59=""),"",IF(AND(N$5&lt;=$H59,N$5+6&gt;=$G59),"■",""))</x:f>
      </x:c>
      <x:c r="O59" s="46" t="str">
        <x:f>IF(OR($G59="",$H59=""),"",IF(AND(O$5&lt;=$H59,O$5+6&gt;=$G59),"■",""))</x:f>
      </x:c>
      <x:c r="P59" s="46" t="str">
        <x:f>IF(OR($G59="",$H59=""),"",IF(AND(P$5&lt;=$H59,P$5+6&gt;=$G59),"■",""))</x:f>
      </x:c>
      <x:c r="Q59" s="46" t="str">
        <x:f>IF(OR($G59="",$H59=""),"",IF(AND(Q$5&lt;=$H59,Q$5+6&gt;=$G59),"■",""))</x:f>
      </x:c>
      <x:c r="R59" s="46" t="str">
        <x:f>IF(OR($G59="",$H59=""),"",IF(AND(R$5&lt;=$H59,R$5+6&gt;=$G59),"■",""))</x:f>
      </x:c>
      <x:c r="S59" s="46" t="str">
        <x:f>IF(OR($G59="",$H59=""),"",IF(AND(S$5&lt;=$H59,S$5+6&gt;=$G59),"■",""))</x:f>
      </x:c>
      <x:c r="T59" s="46" t="str">
        <x:f>IF(OR($G59="",$H59=""),"",IF(AND(T$5&lt;=$H59,T$5+6&gt;=$G59),"■",""))</x:f>
      </x:c>
      <x:c r="U59" s="46" t="str">
        <x:f>IF(OR($G59="",$H59=""),"",IF(AND(U$5&lt;=$H59,U$5+6&gt;=$G59),"■",""))</x:f>
      </x:c>
      <x:c r="V59" s="46" t="str">
        <x:f>IF(OR($G59="",$H59=""),"",IF(AND(V$5&lt;=$H59,V$5+6&gt;=$G59),"■",""))</x:f>
      </x:c>
      <x:c r="W59" s="46" t="str">
        <x:f>IF(OR($G59="",$H59=""),"",IF(AND(W$5&lt;=$H59,W$5+6&gt;=$G59),"■",""))</x:f>
      </x:c>
      <x:c r="X59" s="46" t="str">
        <x:f>IF(OR($G59="",$H59=""),"",IF(AND(X$5&lt;=$H59,X$5+6&gt;=$G59),"■",""))</x:f>
      </x:c>
      <x:c r="Y59" s="46" t="str">
        <x:f>IF(OR($G59="",$H59=""),"",IF(AND(Y$5&lt;=$H59,Y$5+6&gt;=$G59),"■",""))</x:f>
      </x:c>
      <x:c r="Z59" s="46" t="str">
        <x:f>IF(OR($G59="",$H59=""),"",IF(AND(Z$5&lt;=$H59,Z$5+6&gt;=$G59),"■",""))</x:f>
      </x:c>
      <x:c r="AA59" s="46" t="str">
        <x:f>IF(OR($G59="",$H59=""),"",IF(AND(AA$5&lt;=$H59,AA$5+6&gt;=$G59),"■",""))</x:f>
      </x:c>
      <x:c r="AB59" s="46" t="str">
        <x:f>IF(OR($G59="",$H59=""),"",IF(AND(AB$5&lt;=$H59,AB$5+6&gt;=$G59),"■",""))</x:f>
      </x:c>
      <x:c r="AC59" s="46" t="str">
        <x:f>IF(OR($G59="",$H59=""),"",IF(AND(AC$5&lt;=$H59,AC$5+6&gt;=$G59),"■",""))</x:f>
      </x:c>
      <x:c r="AD59" s="46" t="str">
        <x:f>IF(OR($G59="",$H59=""),"",IF(AND(AD$5&lt;=$H59,AD$5+6&gt;=$G59),"■",""))</x:f>
      </x:c>
      <x:c r="AE59" s="46" t="str">
        <x:f>IF(OR($G59="",$H59=""),"",IF(AND(AE$5&lt;=$H59,AE$5+6&gt;=$G59),"■",""))</x:f>
      </x:c>
      <x:c r="AF59" s="46" t="str">
        <x:f>IF(OR($G59="",$H59=""),"",IF(AND(AF$5&lt;=$H59,AF$5+6&gt;=$G59),"■",""))</x:f>
      </x:c>
      <x:c r="AG59" s="46" t="str">
        <x:f>IF(OR($G59="",$H59=""),"",IF(AND(AG$5&lt;=$H59,AG$5+6&gt;=$G59),"■",""))</x:f>
      </x:c>
      <x:c r="AH59" s="46" t="str">
        <x:f>IF(OR($G59="",$H59=""),"",IF(AND(AH$5&lt;=$H59,AH$5+6&gt;=$G59),"■",""))</x:f>
      </x:c>
      <x:c r="AI59" s="46" t="str">
        <x:f>IF(OR($G59="",$H59=""),"",IF(AND(AI$5&lt;=$H59,AI$5+6&gt;=$G59),"■",""))</x:f>
      </x:c>
      <x:c r="AJ59" s="46" t="str">
        <x:f>IF(OR($G59="",$H59=""),"",IF(AND(AJ$5&lt;=$H59,AJ$5+6&gt;=$G59),"■",""))</x:f>
        <x:v>■</x:v>
      </x:c>
      <x:c r="AK59" s="46" t="str">
        <x:f>IF(OR($G59="",$H59=""),"",IF(AND(AK$5&lt;=$H59,AK$5+6&gt;=$G59),"■",""))</x:f>
        <x:v>■</x:v>
      </x:c>
      <x:c r="AL59" s="46" t="str">
        <x:f>IF(OR($G59="",$H59=""),"",IF(AND(AL$5&lt;=$H59,AL$5+6&gt;=$G59),"■",""))</x:f>
        <x:v>■</x:v>
      </x:c>
      <x:c r="AM59" s="46" t="str">
        <x:f>IF(OR($G59="",$H59=""),"",IF(AND(AM$5&lt;=$H59,AM$5+6&gt;=$G59),"■",""))</x:f>
      </x:c>
    </x:row>
    <x:row r="60" ht="28" customHeight="1">
      <x:c r="A60" s="26" t="str">
        <x:v>REL-R9-001</x:v>
      </x:c>
      <x:c r="B60" s="26" t="str">
        <x:v>Private Launch Go/No-go &amp; Observation</x:v>
      </x:c>
      <x:c r="C60" s="26" t="str">
        <x:v>Backlog</x:v>
      </x:c>
      <x:c r="D60" s="26" t="str">
        <x:v>Incomplete</x:v>
      </x:c>
      <x:c r="E60" s="26" t="str">
        <x:v>No</x:v>
      </x:c>
      <x:c r="F60" s="26" t="str">
        <x:v>R9</x:v>
      </x:c>
      <x:c r="G60" s="35" t="n">
        <x:v>46457</x:v>
      </x:c>
      <x:c r="H60" s="35" t="n">
        <x:v>46458</x:v>
      </x:c>
      <x:c r="I60" s="46" t="str">
        <x:f>IF(OR($G60="",$H60=""),"",IF(AND(I$5&lt;=$H60,I$5+6&gt;=$G60),"■",""))</x:f>
      </x:c>
      <x:c r="J60" s="46" t="str">
        <x:f>IF(OR($G60="",$H60=""),"",IF(AND(J$5&lt;=$H60,J$5+6&gt;=$G60),"■",""))</x:f>
      </x:c>
      <x:c r="K60" s="46" t="str">
        <x:f>IF(OR($G60="",$H60=""),"",IF(AND(K$5&lt;=$H60,K$5+6&gt;=$G60),"■",""))</x:f>
      </x:c>
      <x:c r="L60" s="46" t="str">
        <x:f>IF(OR($G60="",$H60=""),"",IF(AND(L$5&lt;=$H60,L$5+6&gt;=$G60),"■",""))</x:f>
      </x:c>
      <x:c r="M60" s="46" t="str">
        <x:f>IF(OR($G60="",$H60=""),"",IF(AND(M$5&lt;=$H60,M$5+6&gt;=$G60),"■",""))</x:f>
      </x:c>
      <x:c r="N60" s="46" t="str">
        <x:f>IF(OR($G60="",$H60=""),"",IF(AND(N$5&lt;=$H60,N$5+6&gt;=$G60),"■",""))</x:f>
      </x:c>
      <x:c r="O60" s="46" t="str">
        <x:f>IF(OR($G60="",$H60=""),"",IF(AND(O$5&lt;=$H60,O$5+6&gt;=$G60),"■",""))</x:f>
      </x:c>
      <x:c r="P60" s="46" t="str">
        <x:f>IF(OR($G60="",$H60=""),"",IF(AND(P$5&lt;=$H60,P$5+6&gt;=$G60),"■",""))</x:f>
      </x:c>
      <x:c r="Q60" s="46" t="str">
        <x:f>IF(OR($G60="",$H60=""),"",IF(AND(Q$5&lt;=$H60,Q$5+6&gt;=$G60),"■",""))</x:f>
      </x:c>
      <x:c r="R60" s="46" t="str">
        <x:f>IF(OR($G60="",$H60=""),"",IF(AND(R$5&lt;=$H60,R$5+6&gt;=$G60),"■",""))</x:f>
      </x:c>
      <x:c r="S60" s="46" t="str">
        <x:f>IF(OR($G60="",$H60=""),"",IF(AND(S$5&lt;=$H60,S$5+6&gt;=$G60),"■",""))</x:f>
      </x:c>
      <x:c r="T60" s="46" t="str">
        <x:f>IF(OR($G60="",$H60=""),"",IF(AND(T$5&lt;=$H60,T$5+6&gt;=$G60),"■",""))</x:f>
      </x:c>
      <x:c r="U60" s="46" t="str">
        <x:f>IF(OR($G60="",$H60=""),"",IF(AND(U$5&lt;=$H60,U$5+6&gt;=$G60),"■",""))</x:f>
      </x:c>
      <x:c r="V60" s="46" t="str">
        <x:f>IF(OR($G60="",$H60=""),"",IF(AND(V$5&lt;=$H60,V$5+6&gt;=$G60),"■",""))</x:f>
      </x:c>
      <x:c r="W60" s="46" t="str">
        <x:f>IF(OR($G60="",$H60=""),"",IF(AND(W$5&lt;=$H60,W$5+6&gt;=$G60),"■",""))</x:f>
      </x:c>
      <x:c r="X60" s="46" t="str">
        <x:f>IF(OR($G60="",$H60=""),"",IF(AND(X$5&lt;=$H60,X$5+6&gt;=$G60),"■",""))</x:f>
      </x:c>
      <x:c r="Y60" s="46" t="str">
        <x:f>IF(OR($G60="",$H60=""),"",IF(AND(Y$5&lt;=$H60,Y$5+6&gt;=$G60),"■",""))</x:f>
      </x:c>
      <x:c r="Z60" s="46" t="str">
        <x:f>IF(OR($G60="",$H60=""),"",IF(AND(Z$5&lt;=$H60,Z$5+6&gt;=$G60),"■",""))</x:f>
      </x:c>
      <x:c r="AA60" s="46" t="str">
        <x:f>IF(OR($G60="",$H60=""),"",IF(AND(AA$5&lt;=$H60,AA$5+6&gt;=$G60),"■",""))</x:f>
      </x:c>
      <x:c r="AB60" s="46" t="str">
        <x:f>IF(OR($G60="",$H60=""),"",IF(AND(AB$5&lt;=$H60,AB$5+6&gt;=$G60),"■",""))</x:f>
      </x:c>
      <x:c r="AC60" s="46" t="str">
        <x:f>IF(OR($G60="",$H60=""),"",IF(AND(AC$5&lt;=$H60,AC$5+6&gt;=$G60),"■",""))</x:f>
      </x:c>
      <x:c r="AD60" s="46" t="str">
        <x:f>IF(OR($G60="",$H60=""),"",IF(AND(AD$5&lt;=$H60,AD$5+6&gt;=$G60),"■",""))</x:f>
      </x:c>
      <x:c r="AE60" s="46" t="str">
        <x:f>IF(OR($G60="",$H60=""),"",IF(AND(AE$5&lt;=$H60,AE$5+6&gt;=$G60),"■",""))</x:f>
      </x:c>
      <x:c r="AF60" s="46" t="str">
        <x:f>IF(OR($G60="",$H60=""),"",IF(AND(AF$5&lt;=$H60,AF$5+6&gt;=$G60),"■",""))</x:f>
      </x:c>
      <x:c r="AG60" s="46" t="str">
        <x:f>IF(OR($G60="",$H60=""),"",IF(AND(AG$5&lt;=$H60,AG$5+6&gt;=$G60),"■",""))</x:f>
      </x:c>
      <x:c r="AH60" s="46" t="str">
        <x:f>IF(OR($G60="",$H60=""),"",IF(AND(AH$5&lt;=$H60,AH$5+6&gt;=$G60),"■",""))</x:f>
      </x:c>
      <x:c r="AI60" s="46" t="str">
        <x:f>IF(OR($G60="",$H60=""),"",IF(AND(AI$5&lt;=$H60,AI$5+6&gt;=$G60),"■",""))</x:f>
      </x:c>
      <x:c r="AJ60" s="46" t="str">
        <x:f>IF(OR($G60="",$H60=""),"",IF(AND(AJ$5&lt;=$H60,AJ$5+6&gt;=$G60),"■",""))</x:f>
      </x:c>
      <x:c r="AK60" s="46" t="str">
        <x:f>IF(OR($G60="",$H60=""),"",IF(AND(AK$5&lt;=$H60,AK$5+6&gt;=$G60),"■",""))</x:f>
      </x:c>
      <x:c r="AL60" s="46" t="str">
        <x:f>IF(OR($G60="",$H60=""),"",IF(AND(AL$5&lt;=$H60,AL$5+6&gt;=$G60),"■",""))</x:f>
        <x:v>■</x:v>
      </x:c>
      <x:c r="AM60" s="46" t="str">
        <x:f>IF(OR($G60="",$H60=""),"",IF(AND(AM$5&lt;=$H60,AM$5+6&gt;=$G60),"■",""))</x:f>
      </x:c>
    </x:row>
    <x:row r="61" ht="28" customHeight="1">
      <x:c r="A61" s="26" t="str">
        <x:v>PID-R10-001</x:v>
      </x:c>
      <x:c r="B61" s="26" t="str">
        <x:v>Object-store Transition PID</x:v>
      </x:c>
      <x:c r="C61" s="26" t="str">
        <x:v>Done</x:v>
      </x:c>
      <x:c r="D61" s="26" t="str">
        <x:v>Incomplete</x:v>
      </x:c>
      <x:c r="E61" s="26" t="str">
        <x:v>No</x:v>
      </x:c>
      <x:c r="F61" s="26" t="str">
        <x:v>R10</x:v>
      </x:c>
      <x:c r="G61" s="35"/>
      <x:c r="H61" s="35"/>
      <x:c r="I61" s="46" t="str">
        <x:f>IF(OR($G61="",$H61=""),"",IF(AND(I$5&lt;=$H61,I$5+6&gt;=$G61),"■",""))</x:f>
      </x:c>
      <x:c r="J61" s="46" t="str">
        <x:f>IF(OR($G61="",$H61=""),"",IF(AND(J$5&lt;=$H61,J$5+6&gt;=$G61),"■",""))</x:f>
      </x:c>
      <x:c r="K61" s="46" t="str">
        <x:f>IF(OR($G61="",$H61=""),"",IF(AND(K$5&lt;=$H61,K$5+6&gt;=$G61),"■",""))</x:f>
      </x:c>
      <x:c r="L61" s="46" t="str">
        <x:f>IF(OR($G61="",$H61=""),"",IF(AND(L$5&lt;=$H61,L$5+6&gt;=$G61),"■",""))</x:f>
      </x:c>
      <x:c r="M61" s="46" t="str">
        <x:f>IF(OR($G61="",$H61=""),"",IF(AND(M$5&lt;=$H61,M$5+6&gt;=$G61),"■",""))</x:f>
      </x:c>
      <x:c r="N61" s="46" t="str">
        <x:f>IF(OR($G61="",$H61=""),"",IF(AND(N$5&lt;=$H61,N$5+6&gt;=$G61),"■",""))</x:f>
      </x:c>
      <x:c r="O61" s="46" t="str">
        <x:f>IF(OR($G61="",$H61=""),"",IF(AND(O$5&lt;=$H61,O$5+6&gt;=$G61),"■",""))</x:f>
      </x:c>
      <x:c r="P61" s="46" t="str">
        <x:f>IF(OR($G61="",$H61=""),"",IF(AND(P$5&lt;=$H61,P$5+6&gt;=$G61),"■",""))</x:f>
      </x:c>
      <x:c r="Q61" s="46" t="str">
        <x:f>IF(OR($G61="",$H61=""),"",IF(AND(Q$5&lt;=$H61,Q$5+6&gt;=$G61),"■",""))</x:f>
      </x:c>
      <x:c r="R61" s="46" t="str">
        <x:f>IF(OR($G61="",$H61=""),"",IF(AND(R$5&lt;=$H61,R$5+6&gt;=$G61),"■",""))</x:f>
      </x:c>
      <x:c r="S61" s="46" t="str">
        <x:f>IF(OR($G61="",$H61=""),"",IF(AND(S$5&lt;=$H61,S$5+6&gt;=$G61),"■",""))</x:f>
      </x:c>
      <x:c r="T61" s="46" t="str">
        <x:f>IF(OR($G61="",$H61=""),"",IF(AND(T$5&lt;=$H61,T$5+6&gt;=$G61),"■",""))</x:f>
      </x:c>
      <x:c r="U61" s="46" t="str">
        <x:f>IF(OR($G61="",$H61=""),"",IF(AND(U$5&lt;=$H61,U$5+6&gt;=$G61),"■",""))</x:f>
      </x:c>
      <x:c r="V61" s="46" t="str">
        <x:f>IF(OR($G61="",$H61=""),"",IF(AND(V$5&lt;=$H61,V$5+6&gt;=$G61),"■",""))</x:f>
      </x:c>
      <x:c r="W61" s="46" t="str">
        <x:f>IF(OR($G61="",$H61=""),"",IF(AND(W$5&lt;=$H61,W$5+6&gt;=$G61),"■",""))</x:f>
      </x:c>
      <x:c r="X61" s="46" t="str">
        <x:f>IF(OR($G61="",$H61=""),"",IF(AND(X$5&lt;=$H61,X$5+6&gt;=$G61),"■",""))</x:f>
      </x:c>
      <x:c r="Y61" s="46" t="str">
        <x:f>IF(OR($G61="",$H61=""),"",IF(AND(Y$5&lt;=$H61,Y$5+6&gt;=$G61),"■",""))</x:f>
      </x:c>
      <x:c r="Z61" s="46" t="str">
        <x:f>IF(OR($G61="",$H61=""),"",IF(AND(Z$5&lt;=$H61,Z$5+6&gt;=$G61),"■",""))</x:f>
      </x:c>
      <x:c r="AA61" s="46" t="str">
        <x:f>IF(OR($G61="",$H61=""),"",IF(AND(AA$5&lt;=$H61,AA$5+6&gt;=$G61),"■",""))</x:f>
      </x:c>
      <x:c r="AB61" s="46" t="str">
        <x:f>IF(OR($G61="",$H61=""),"",IF(AND(AB$5&lt;=$H61,AB$5+6&gt;=$G61),"■",""))</x:f>
      </x:c>
      <x:c r="AC61" s="46" t="str">
        <x:f>IF(OR($G61="",$H61=""),"",IF(AND(AC$5&lt;=$H61,AC$5+6&gt;=$G61),"■",""))</x:f>
      </x:c>
      <x:c r="AD61" s="46" t="str">
        <x:f>IF(OR($G61="",$H61=""),"",IF(AND(AD$5&lt;=$H61,AD$5+6&gt;=$G61),"■",""))</x:f>
      </x:c>
      <x:c r="AE61" s="46" t="str">
        <x:f>IF(OR($G61="",$H61=""),"",IF(AND(AE$5&lt;=$H61,AE$5+6&gt;=$G61),"■",""))</x:f>
      </x:c>
      <x:c r="AF61" s="46" t="str">
        <x:f>IF(OR($G61="",$H61=""),"",IF(AND(AF$5&lt;=$H61,AF$5+6&gt;=$G61),"■",""))</x:f>
      </x:c>
      <x:c r="AG61" s="46" t="str">
        <x:f>IF(OR($G61="",$H61=""),"",IF(AND(AG$5&lt;=$H61,AG$5+6&gt;=$G61),"■",""))</x:f>
      </x:c>
      <x:c r="AH61" s="46" t="str">
        <x:f>IF(OR($G61="",$H61=""),"",IF(AND(AH$5&lt;=$H61,AH$5+6&gt;=$G61),"■",""))</x:f>
      </x:c>
      <x:c r="AI61" s="46" t="str">
        <x:f>IF(OR($G61="",$H61=""),"",IF(AND(AI$5&lt;=$H61,AI$5+6&gt;=$G61),"■",""))</x:f>
      </x:c>
      <x:c r="AJ61" s="46" t="str">
        <x:f>IF(OR($G61="",$H61=""),"",IF(AND(AJ$5&lt;=$H61,AJ$5+6&gt;=$G61),"■",""))</x:f>
      </x:c>
      <x:c r="AK61" s="46" t="str">
        <x:f>IF(OR($G61="",$H61=""),"",IF(AND(AK$5&lt;=$H61,AK$5+6&gt;=$G61),"■",""))</x:f>
      </x:c>
      <x:c r="AL61" s="46" t="str">
        <x:f>IF(OR($G61="",$H61=""),"",IF(AND(AL$5&lt;=$H61,AL$5+6&gt;=$G61),"■",""))</x:f>
      </x:c>
      <x:c r="AM61" s="46" t="str">
        <x:f>IF(OR($G61="",$H61=""),"",IF(AND(AM$5&lt;=$H61,AM$5+6&gt;=$G61),"■",""))</x:f>
      </x:c>
    </x:row>
    <x:row r="62" ht="28" customHeight="1">
      <x:c r="A62" s="26" t="str">
        <x:v>ARCH-R10-001</x:v>
      </x:c>
      <x:c r="B62" s="26" t="str">
        <x:v>Migration/Inventory/Backup/Rollback Runbook</x:v>
      </x:c>
      <x:c r="C62" s="26" t="str">
        <x:v>Backlog</x:v>
      </x:c>
      <x:c r="D62" s="26" t="str">
        <x:v>Incomplete</x:v>
      </x:c>
      <x:c r="E62" s="26" t="str">
        <x:v>No</x:v>
      </x:c>
      <x:c r="F62" s="26" t="str">
        <x:v>R10</x:v>
      </x:c>
      <x:c r="G62" s="35"/>
      <x:c r="H62" s="35"/>
      <x:c r="I62" s="46" t="str">
        <x:f>IF(OR($G62="",$H62=""),"",IF(AND(I$5&lt;=$H62,I$5+6&gt;=$G62),"■",""))</x:f>
      </x:c>
      <x:c r="J62" s="46" t="str">
        <x:f>IF(OR($G62="",$H62=""),"",IF(AND(J$5&lt;=$H62,J$5+6&gt;=$G62),"■",""))</x:f>
      </x:c>
      <x:c r="K62" s="46" t="str">
        <x:f>IF(OR($G62="",$H62=""),"",IF(AND(K$5&lt;=$H62,K$5+6&gt;=$G62),"■",""))</x:f>
      </x:c>
      <x:c r="L62" s="46" t="str">
        <x:f>IF(OR($G62="",$H62=""),"",IF(AND(L$5&lt;=$H62,L$5+6&gt;=$G62),"■",""))</x:f>
      </x:c>
      <x:c r="M62" s="46" t="str">
        <x:f>IF(OR($G62="",$H62=""),"",IF(AND(M$5&lt;=$H62,M$5+6&gt;=$G62),"■",""))</x:f>
      </x:c>
      <x:c r="N62" s="46" t="str">
        <x:f>IF(OR($G62="",$H62=""),"",IF(AND(N$5&lt;=$H62,N$5+6&gt;=$G62),"■",""))</x:f>
      </x:c>
      <x:c r="O62" s="46" t="str">
        <x:f>IF(OR($G62="",$H62=""),"",IF(AND(O$5&lt;=$H62,O$5+6&gt;=$G62),"■",""))</x:f>
      </x:c>
      <x:c r="P62" s="46" t="str">
        <x:f>IF(OR($G62="",$H62=""),"",IF(AND(P$5&lt;=$H62,P$5+6&gt;=$G62),"■",""))</x:f>
      </x:c>
      <x:c r="Q62" s="46" t="str">
        <x:f>IF(OR($G62="",$H62=""),"",IF(AND(Q$5&lt;=$H62,Q$5+6&gt;=$G62),"■",""))</x:f>
      </x:c>
      <x:c r="R62" s="46" t="str">
        <x:f>IF(OR($G62="",$H62=""),"",IF(AND(R$5&lt;=$H62,R$5+6&gt;=$G62),"■",""))</x:f>
      </x:c>
      <x:c r="S62" s="46" t="str">
        <x:f>IF(OR($G62="",$H62=""),"",IF(AND(S$5&lt;=$H62,S$5+6&gt;=$G62),"■",""))</x:f>
      </x:c>
      <x:c r="T62" s="46" t="str">
        <x:f>IF(OR($G62="",$H62=""),"",IF(AND(T$5&lt;=$H62,T$5+6&gt;=$G62),"■",""))</x:f>
      </x:c>
      <x:c r="U62" s="46" t="str">
        <x:f>IF(OR($G62="",$H62=""),"",IF(AND(U$5&lt;=$H62,U$5+6&gt;=$G62),"■",""))</x:f>
      </x:c>
      <x:c r="V62" s="46" t="str">
        <x:f>IF(OR($G62="",$H62=""),"",IF(AND(V$5&lt;=$H62,V$5+6&gt;=$G62),"■",""))</x:f>
      </x:c>
      <x:c r="W62" s="46" t="str">
        <x:f>IF(OR($G62="",$H62=""),"",IF(AND(W$5&lt;=$H62,W$5+6&gt;=$G62),"■",""))</x:f>
      </x:c>
      <x:c r="X62" s="46" t="str">
        <x:f>IF(OR($G62="",$H62=""),"",IF(AND(X$5&lt;=$H62,X$5+6&gt;=$G62),"■",""))</x:f>
      </x:c>
      <x:c r="Y62" s="46" t="str">
        <x:f>IF(OR($G62="",$H62=""),"",IF(AND(Y$5&lt;=$H62,Y$5+6&gt;=$G62),"■",""))</x:f>
      </x:c>
      <x:c r="Z62" s="46" t="str">
        <x:f>IF(OR($G62="",$H62=""),"",IF(AND(Z$5&lt;=$H62,Z$5+6&gt;=$G62),"■",""))</x:f>
      </x:c>
      <x:c r="AA62" s="46" t="str">
        <x:f>IF(OR($G62="",$H62=""),"",IF(AND(AA$5&lt;=$H62,AA$5+6&gt;=$G62),"■",""))</x:f>
      </x:c>
      <x:c r="AB62" s="46" t="str">
        <x:f>IF(OR($G62="",$H62=""),"",IF(AND(AB$5&lt;=$H62,AB$5+6&gt;=$G62),"■",""))</x:f>
      </x:c>
      <x:c r="AC62" s="46" t="str">
        <x:f>IF(OR($G62="",$H62=""),"",IF(AND(AC$5&lt;=$H62,AC$5+6&gt;=$G62),"■",""))</x:f>
      </x:c>
      <x:c r="AD62" s="46" t="str">
        <x:f>IF(OR($G62="",$H62=""),"",IF(AND(AD$5&lt;=$H62,AD$5+6&gt;=$G62),"■",""))</x:f>
      </x:c>
      <x:c r="AE62" s="46" t="str">
        <x:f>IF(OR($G62="",$H62=""),"",IF(AND(AE$5&lt;=$H62,AE$5+6&gt;=$G62),"■",""))</x:f>
      </x:c>
      <x:c r="AF62" s="46" t="str">
        <x:f>IF(OR($G62="",$H62=""),"",IF(AND(AF$5&lt;=$H62,AF$5+6&gt;=$G62),"■",""))</x:f>
      </x:c>
      <x:c r="AG62" s="46" t="str">
        <x:f>IF(OR($G62="",$H62=""),"",IF(AND(AG$5&lt;=$H62,AG$5+6&gt;=$G62),"■",""))</x:f>
      </x:c>
      <x:c r="AH62" s="46" t="str">
        <x:f>IF(OR($G62="",$H62=""),"",IF(AND(AH$5&lt;=$H62,AH$5+6&gt;=$G62),"■",""))</x:f>
      </x:c>
      <x:c r="AI62" s="46" t="str">
        <x:f>IF(OR($G62="",$H62=""),"",IF(AND(AI$5&lt;=$H62,AI$5+6&gt;=$G62),"■",""))</x:f>
      </x:c>
      <x:c r="AJ62" s="46" t="str">
        <x:f>IF(OR($G62="",$H62=""),"",IF(AND(AJ$5&lt;=$H62,AJ$5+6&gt;=$G62),"■",""))</x:f>
      </x:c>
      <x:c r="AK62" s="46" t="str">
        <x:f>IF(OR($G62="",$H62=""),"",IF(AND(AK$5&lt;=$H62,AK$5+6&gt;=$G62),"■",""))</x:f>
      </x:c>
      <x:c r="AL62" s="46" t="str">
        <x:f>IF(OR($G62="",$H62=""),"",IF(AND(AL$5&lt;=$H62,AL$5+6&gt;=$G62),"■",""))</x:f>
      </x:c>
      <x:c r="AM62" s="46" t="str">
        <x:f>IF(OR($G62="",$H62=""),"",IF(AND(AM$5&lt;=$H62,AM$5+6&gt;=$G62),"■",""))</x:f>
      </x:c>
    </x:row>
    <x:row r="63" ht="28" customHeight="1">
      <x:c r="A63" s="26" t="str">
        <x:v>REL-R10-001</x:v>
      </x:c>
      <x:c r="B63" s="26" t="str">
        <x:v>Conditional Transition Acceptance</x:v>
      </x:c>
      <x:c r="C63" s="26" t="str">
        <x:v>Backlog</x:v>
      </x:c>
      <x:c r="D63" s="26" t="str">
        <x:v>Incomplete</x:v>
      </x:c>
      <x:c r="E63" s="26" t="str">
        <x:v>No</x:v>
      </x:c>
      <x:c r="F63" s="26" t="str">
        <x:v>R10</x:v>
      </x:c>
      <x:c r="G63" s="35"/>
      <x:c r="H63" s="35"/>
      <x:c r="I63" s="46" t="str">
        <x:f>IF(OR($G63="",$H63=""),"",IF(AND(I$5&lt;=$H63,I$5+6&gt;=$G63),"■",""))</x:f>
      </x:c>
      <x:c r="J63" s="46" t="str">
        <x:f>IF(OR($G63="",$H63=""),"",IF(AND(J$5&lt;=$H63,J$5+6&gt;=$G63),"■",""))</x:f>
      </x:c>
      <x:c r="K63" s="46" t="str">
        <x:f>IF(OR($G63="",$H63=""),"",IF(AND(K$5&lt;=$H63,K$5+6&gt;=$G63),"■",""))</x:f>
      </x:c>
      <x:c r="L63" s="46" t="str">
        <x:f>IF(OR($G63="",$H63=""),"",IF(AND(L$5&lt;=$H63,L$5+6&gt;=$G63),"■",""))</x:f>
      </x:c>
      <x:c r="M63" s="46" t="str">
        <x:f>IF(OR($G63="",$H63=""),"",IF(AND(M$5&lt;=$H63,M$5+6&gt;=$G63),"■",""))</x:f>
      </x:c>
      <x:c r="N63" s="46" t="str">
        <x:f>IF(OR($G63="",$H63=""),"",IF(AND(N$5&lt;=$H63,N$5+6&gt;=$G63),"■",""))</x:f>
      </x:c>
      <x:c r="O63" s="46" t="str">
        <x:f>IF(OR($G63="",$H63=""),"",IF(AND(O$5&lt;=$H63,O$5+6&gt;=$G63),"■",""))</x:f>
      </x:c>
      <x:c r="P63" s="46" t="str">
        <x:f>IF(OR($G63="",$H63=""),"",IF(AND(P$5&lt;=$H63,P$5+6&gt;=$G63),"■",""))</x:f>
      </x:c>
      <x:c r="Q63" s="46" t="str">
        <x:f>IF(OR($G63="",$H63=""),"",IF(AND(Q$5&lt;=$H63,Q$5+6&gt;=$G63),"■",""))</x:f>
      </x:c>
      <x:c r="R63" s="46" t="str">
        <x:f>IF(OR($G63="",$H63=""),"",IF(AND(R$5&lt;=$H63,R$5+6&gt;=$G63),"■",""))</x:f>
      </x:c>
      <x:c r="S63" s="46" t="str">
        <x:f>IF(OR($G63="",$H63=""),"",IF(AND(S$5&lt;=$H63,S$5+6&gt;=$G63),"■",""))</x:f>
      </x:c>
      <x:c r="T63" s="46" t="str">
        <x:f>IF(OR($G63="",$H63=""),"",IF(AND(T$5&lt;=$H63,T$5+6&gt;=$G63),"■",""))</x:f>
      </x:c>
      <x:c r="U63" s="46" t="str">
        <x:f>IF(OR($G63="",$H63=""),"",IF(AND(U$5&lt;=$H63,U$5+6&gt;=$G63),"■",""))</x:f>
      </x:c>
      <x:c r="V63" s="46" t="str">
        <x:f>IF(OR($G63="",$H63=""),"",IF(AND(V$5&lt;=$H63,V$5+6&gt;=$G63),"■",""))</x:f>
      </x:c>
      <x:c r="W63" s="46" t="str">
        <x:f>IF(OR($G63="",$H63=""),"",IF(AND(W$5&lt;=$H63,W$5+6&gt;=$G63),"■",""))</x:f>
      </x:c>
      <x:c r="X63" s="46" t="str">
        <x:f>IF(OR($G63="",$H63=""),"",IF(AND(X$5&lt;=$H63,X$5+6&gt;=$G63),"■",""))</x:f>
      </x:c>
      <x:c r="Y63" s="46" t="str">
        <x:f>IF(OR($G63="",$H63=""),"",IF(AND(Y$5&lt;=$H63,Y$5+6&gt;=$G63),"■",""))</x:f>
      </x:c>
      <x:c r="Z63" s="46" t="str">
        <x:f>IF(OR($G63="",$H63=""),"",IF(AND(Z$5&lt;=$H63,Z$5+6&gt;=$G63),"■",""))</x:f>
      </x:c>
      <x:c r="AA63" s="46" t="str">
        <x:f>IF(OR($G63="",$H63=""),"",IF(AND(AA$5&lt;=$H63,AA$5+6&gt;=$G63),"■",""))</x:f>
      </x:c>
      <x:c r="AB63" s="46" t="str">
        <x:f>IF(OR($G63="",$H63=""),"",IF(AND(AB$5&lt;=$H63,AB$5+6&gt;=$G63),"■",""))</x:f>
      </x:c>
      <x:c r="AC63" s="46" t="str">
        <x:f>IF(OR($G63="",$H63=""),"",IF(AND(AC$5&lt;=$H63,AC$5+6&gt;=$G63),"■",""))</x:f>
      </x:c>
      <x:c r="AD63" s="46" t="str">
        <x:f>IF(OR($G63="",$H63=""),"",IF(AND(AD$5&lt;=$H63,AD$5+6&gt;=$G63),"■",""))</x:f>
      </x:c>
      <x:c r="AE63" s="46" t="str">
        <x:f>IF(OR($G63="",$H63=""),"",IF(AND(AE$5&lt;=$H63,AE$5+6&gt;=$G63),"■",""))</x:f>
      </x:c>
      <x:c r="AF63" s="46" t="str">
        <x:f>IF(OR($G63="",$H63=""),"",IF(AND(AF$5&lt;=$H63,AF$5+6&gt;=$G63),"■",""))</x:f>
      </x:c>
      <x:c r="AG63" s="46" t="str">
        <x:f>IF(OR($G63="",$H63=""),"",IF(AND(AG$5&lt;=$H63,AG$5+6&gt;=$G63),"■",""))</x:f>
      </x:c>
      <x:c r="AH63" s="46" t="str">
        <x:f>IF(OR($G63="",$H63=""),"",IF(AND(AH$5&lt;=$H63,AH$5+6&gt;=$G63),"■",""))</x:f>
      </x:c>
      <x:c r="AI63" s="46" t="str">
        <x:f>IF(OR($G63="",$H63=""),"",IF(AND(AI$5&lt;=$H63,AI$5+6&gt;=$G63),"■",""))</x:f>
      </x:c>
      <x:c r="AJ63" s="46" t="str">
        <x:f>IF(OR($G63="",$H63=""),"",IF(AND(AJ$5&lt;=$H63,AJ$5+6&gt;=$G63),"■",""))</x:f>
      </x:c>
      <x:c r="AK63" s="46" t="str">
        <x:f>IF(OR($G63="",$H63=""),"",IF(AND(AK$5&lt;=$H63,AK$5+6&gt;=$G63),"■",""))</x:f>
      </x:c>
      <x:c r="AL63" s="46" t="str">
        <x:f>IF(OR($G63="",$H63=""),"",IF(AND(AL$5&lt;=$H63,AL$5+6&gt;=$G63),"■",""))</x:f>
      </x:c>
      <x:c r="AM63" s="46" t="str">
        <x:f>IF(OR($G63="",$H63=""),"",IF(AND(AM$5&lt;=$H63,AM$5+6&gt;=$G63),"■",""))</x:f>
      </x:c>
    </x:row>
  </x:sheetData>
  <x:mergeCells>
    <x:mergeCell ref="A1:AM2"/>
    <x:mergeCell ref="A3:AM3"/>
  </x:mergeCells>
  <x:conditionalFormatting sqref="I6:AM63">
    <x:cfRule type="expression" dxfId="12" priority="1">
      <x:formula>AND(I6="■",$C6="Backlog")</x:formula>
    </x:cfRule>
    <x:cfRule type="expression" dxfId="13" priority="2">
      <x:formula>AND(I6="■",$C6="Next")</x:formula>
    </x:cfRule>
    <x:cfRule type="expression" dxfId="14" priority="3">
      <x:formula>AND(I6="■",$C6="In progress")</x:formula>
    </x:cfRule>
    <x:cfRule type="expression" dxfId="15" priority="4">
      <x:formula>AND(I6="■",$C6="Done")</x:formula>
    </x:cfRule>
  </x:conditionalFormatting>
  <x:conditionalFormatting sqref="C6:C63">
    <x:cfRule type="containsText" dxfId="16" priority="5" operator="containsText" text="Backlog"/>
    <x:cfRule type="containsText" dxfId="17" priority="6" operator="containsText" text="Next"/>
    <x:cfRule type="containsText" dxfId="18" priority="7" operator="containsText" text="In progress"/>
    <x:cfRule type="containsText" dxfId="19" priority="8" operator="containsText" text="Done"/>
  </x:conditionalFormatting>
  <x:conditionalFormatting sqref="D6:D63">
    <x:cfRule type="containsText" dxfId="20" priority="9" operator="containsText" text="Incomplete"/>
    <x:cfRule type="containsText" dxfId="21" priority="10" operator="containsText" text="Ready"/>
  </x:conditionalFormatting>
  <x:conditionalFormatting sqref="E6:E63">
    <x:cfRule type="containsText" dxfId="22" priority="11" operator="containsText" text="Yes"/>
    <x:cfRule type="containsText" dxfId="23" priority="12" operator="containsText" text="No"/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54" hidden="0" customWidth="1"/>
    <x:col min="4" max="4" width="28" hidden="0" customWidth="1"/>
    <x:col min="5" max="5" width="50" hidden="0" customWidth="1"/>
    <x:col min="6" max="6" width="12" hidden="0" customWidth="1"/>
  </x:cols>
  <x:sheetData>
    <x:row r="1" ht="28" customHeight="1">
      <x:c r="A1" s="5" t="str">
        <x:v>Requirement Traceability — 78 Stable IDs</x:v>
      </x:c>
      <x:c r="B1" s="5" t="str">
        <x:v>Requirement Traceability — 78 Stable IDs</x:v>
      </x:c>
      <x:c r="C1" s="5" t="str">
        <x:v>Requirement Traceability — 78 Stable IDs</x:v>
      </x:c>
      <x:c r="D1" s="5" t="str">
        <x:v>Requirement Traceability — 78 Stable IDs</x:v>
      </x:c>
      <x:c r="E1" s="5" t="str">
        <x:v>Requirement Traceability — 78 Stable IDs</x:v>
      </x:c>
      <x:c r="F1" s="5" t="str">
        <x:v>Requirement Traceability — 78 Stable IDs</x:v>
      </x:c>
    </x:row>
    <x:row r="2" ht="28" customHeight="1">
      <x:c r="A2" s="5" t="str">
        <x:v>Requirement Traceability — 78 Stable IDs</x:v>
      </x:c>
      <x:c r="B2" s="5" t="str">
        <x:v>Requirement Traceability — 78 Stable IDs</x:v>
      </x:c>
      <x:c r="C2" s="5" t="str">
        <x:v>Requirement Traceability — 78 Stable IDs</x:v>
      </x:c>
      <x:c r="D2" s="5" t="str">
        <x:v>Requirement Traceability — 78 Stable IDs</x:v>
      </x:c>
      <x:c r="E2" s="5" t="str">
        <x:v>Requirement Traceability — 78 Stable IDs</x:v>
      </x:c>
      <x:c r="F2" s="5" t="str">
        <x:v>Requirement Traceability — 78 Stable IDs</x:v>
      </x:c>
    </x:row>
    <x:row r="3" ht="34" customHeight="1">
      <x:c r="A3" s="14" t="str">
        <x:v>All 71 active requirements map to roadmap tasks. LID-UP-004 and LID-DEF-001 through LID-DEF-006 are explicitly deferred rather than silently omitted.</x:v>
      </x:c>
      <x:c r="B3" s="15" t="str">
        <x:v>All 71 active requirements map to roadmap tasks. LID-UP-004 and LID-DEF-001 through LID-DEF-006 are explicitly deferred rather than silently omitted.</x:v>
      </x:c>
      <x:c r="C3" s="15" t="str">
        <x:v>All 71 active requirements map to roadmap tasks. LID-UP-004 and LID-DEF-001 through LID-DEF-006 are explicitly deferred rather than silently omitted.</x:v>
      </x:c>
      <x:c r="D3" s="15" t="str">
        <x:v>All 71 active requirements map to roadmap tasks. LID-UP-004 and LID-DEF-001 through LID-DEF-006 are explicitly deferred rather than silently omitted.</x:v>
      </x:c>
      <x:c r="E3" s="15" t="str">
        <x:v>All 71 active requirements map to roadmap tasks. LID-UP-004 and LID-DEF-001 through LID-DEF-006 are explicitly deferred rather than silently omitted.</x:v>
      </x:c>
      <x:c r="F3" s="16" t="str">
        <x:v>All 71 active requirements map to roadmap tasks. LID-UP-004 and LID-DEF-001 through LID-DEF-006 are explicitly deferred rather than silently omitted.</x:v>
      </x:c>
    </x:row>
    <x:row r="5" ht="30" customHeight="1">
      <x:c r="A5" s="22" t="str">
        <x:v>Requirement ID</x:v>
      </x:c>
      <x:c r="B5" s="22" t="str">
        <x:v>Primary milestone</x:v>
      </x:c>
      <x:c r="C5" s="22" t="str">
        <x:v>Roadmap task IDs</x:v>
      </x:c>
      <x:c r="D5" s="22" t="str">
        <x:v>Disposition</x:v>
      </x:c>
      <x:c r="E5" s="22" t="str">
        <x:v>Rationale</x:v>
      </x:c>
      <x:c r="F5" s="22" t="str">
        <x:v>Task count</x:v>
      </x:c>
    </x:row>
    <x:row r="6" ht="40" customHeight="1">
      <x:c r="A6" s="26" t="str">
        <x:v>LID-SCP-001</x:v>
      </x:c>
      <x:c r="B6" s="26" t="str">
        <x:v>R0</x:v>
      </x:c>
      <x:c r="C6" s="26" t="str">
        <x:v>SPK-R0-001, PRD-R0-001, UX-R0-001, ARCH-R0-001, ENG-R0-001, REL-R0-001, QA-R8-001, REL-R8-001, PRD-R9-001, QA-R9-001, REL-R9-001</x:v>
      </x:c>
      <x:c r="D6" s="26" t="str">
        <x:v>Planned and regression-gated.</x:v>
      </x:c>
      <x:c r="E6" s="26" t="str">
        <x:v>Mapped to one or more release-planning, implementation, or acceptance tasks.</x:v>
      </x:c>
      <x:c r="F6" s="26" t="n">
        <x:f>LEN(C6)-LEN(SUBSTITUTE(C6,",",""))+1</x:f>
        <x:v>11</x:v>
      </x:c>
    </x:row>
    <x:row r="7" ht="40" customHeight="1">
      <x:c r="A7" s="26" t="str">
        <x:v>LID-SCP-002</x:v>
      </x:c>
      <x:c r="B7" s="26" t="str">
        <x:v>R1</x:v>
      </x:c>
      <x:c r="C7" s="26" t="str">
        <x:v>PRD-R1-001, UX-R1-001, ARCH-R1-001, ENG-R1-001, REL-R1-001, QA-R8-001, REL-R8-001, PRD-R9-001, QA-R9-001, REL-R9-001</x:v>
      </x:c>
      <x:c r="D7" s="26" t="str">
        <x:v>Planned and regression-gated.</x:v>
      </x:c>
      <x:c r="E7" s="26" t="str">
        <x:v>Mapped to one or more release-planning, implementation, or acceptance tasks.</x:v>
      </x:c>
      <x:c r="F7" s="26" t="n">
        <x:f>LEN(C7)-LEN(SUBSTITUTE(C7,",",""))+1</x:f>
        <x:v>10</x:v>
      </x:c>
    </x:row>
    <x:row r="8" ht="40" customHeight="1">
      <x:c r="A8" s="26" t="str">
        <x:v>LID-SCP-003</x:v>
      </x:c>
      <x:c r="B8" s="26" t="str">
        <x:v>R1</x:v>
      </x:c>
      <x:c r="C8" s="26" t="str">
        <x:v>PRD-R1-001, UX-R1-001, ARCH-R1-001, ENG-R1-001, REL-R1-001, QA-R8-001, REL-R8-001, PRD-R9-001, QA-R9-001, REL-R9-001</x:v>
      </x:c>
      <x:c r="D8" s="26" t="str">
        <x:v>Planned and regression-gated.</x:v>
      </x:c>
      <x:c r="E8" s="26" t="str">
        <x:v>Mapped to one or more release-planning, implementation, or acceptance tasks.</x:v>
      </x:c>
      <x:c r="F8" s="26" t="n">
        <x:f>LEN(C8)-LEN(SUBSTITUTE(C8,",",""))+1</x:f>
        <x:v>10</x:v>
      </x:c>
    </x:row>
    <x:row r="9" ht="40" customHeight="1">
      <x:c r="A9" s="26" t="str">
        <x:v>LID-SCP-004</x:v>
      </x:c>
      <x:c r="B9" s="26" t="str">
        <x:v>R4</x:v>
      </x:c>
      <x:c r="C9" s="26" t="str">
        <x:v>PRD-R4-001, UX-R4-001, ARCH-R4-001, ENG-R4-001, ENG-R4-002, REL-R4-001, QA-R8-001, REL-R8-001, PRD-R9-001, QA-R9-001, REL-R9-001</x:v>
      </x:c>
      <x:c r="D9" s="26" t="str">
        <x:v>Planned and regression-gated.</x:v>
      </x:c>
      <x:c r="E9" s="26" t="str">
        <x:v>Mapped to one or more release-planning, implementation, or acceptance tasks.</x:v>
      </x:c>
      <x:c r="F9" s="26" t="n">
        <x:f>LEN(C9)-LEN(SUBSTITUTE(C9,",",""))+1</x:f>
        <x:v>11</x:v>
      </x:c>
    </x:row>
    <x:row r="10" ht="40" customHeight="1">
      <x:c r="A10" s="26" t="str">
        <x:v>LID-TG-001</x:v>
      </x:c>
      <x:c r="B10" s="26" t="str">
        <x:v>R2</x:v>
      </x:c>
      <x:c r="C10" s="26" t="str">
        <x:v>PRD-R2-001, ARCH-R2-001, ENG-R2-001, REL-R2-001, QA-R8-001, REL-R8-001, PRD-R9-001, QA-R9-001, REL-R9-001</x:v>
      </x:c>
      <x:c r="D10" s="26" t="str">
        <x:v>Planned and regression-gated.</x:v>
      </x:c>
      <x:c r="E10" s="26" t="str">
        <x:v>Mapped to one or more release-planning, implementation, or acceptance tasks.</x:v>
      </x:c>
      <x:c r="F10" s="26" t="n">
        <x:f>LEN(C10)-LEN(SUBSTITUTE(C10,",",""))+1</x:f>
        <x:v>9</x:v>
      </x:c>
    </x:row>
    <x:row r="11" ht="40" customHeight="1">
      <x:c r="A11" s="26" t="str">
        <x:v>LID-TG-002</x:v>
      </x:c>
      <x:c r="B11" s="26" t="str">
        <x:v>R2</x:v>
      </x:c>
      <x:c r="C11" s="26" t="str">
        <x:v>PRD-R2-001, UX-R2-001, ARCH-R2-001, ENG-R2-001, REL-R2-001, QA-R8-001, REL-R8-001, PRD-R9-001, QA-R9-001, REL-R9-001</x:v>
      </x:c>
      <x:c r="D11" s="26" t="str">
        <x:v>Planned and regression-gated.</x:v>
      </x:c>
      <x:c r="E11" s="26" t="str">
        <x:v>Mapped to one or more release-planning, implementation, or acceptance tasks.</x:v>
      </x:c>
      <x:c r="F11" s="26" t="n">
        <x:f>LEN(C11)-LEN(SUBSTITUTE(C11,",",""))+1</x:f>
        <x:v>10</x:v>
      </x:c>
    </x:row>
    <x:row r="12" ht="40" customHeight="1">
      <x:c r="A12" s="26" t="str">
        <x:v>LID-TG-003</x:v>
      </x:c>
      <x:c r="B12" s="26" t="str">
        <x:v>R2</x:v>
      </x:c>
      <x:c r="C12" s="26" t="str">
        <x:v>PRD-R2-001, UX-R2-001, ARCH-R2-001, ENG-R2-001, REL-R2-001, QA-R8-001, REL-R8-001, PRD-R9-001, QA-R9-001, REL-R9-001</x:v>
      </x:c>
      <x:c r="D12" s="26" t="str">
        <x:v>Planned and regression-gated.</x:v>
      </x:c>
      <x:c r="E12" s="26" t="str">
        <x:v>Mapped to one or more release-planning, implementation, or acceptance tasks.</x:v>
      </x:c>
      <x:c r="F12" s="26" t="n">
        <x:f>LEN(C12)-LEN(SUBSTITUTE(C12,",",""))+1</x:f>
        <x:v>10</x:v>
      </x:c>
    </x:row>
    <x:row r="13" ht="40" customHeight="1">
      <x:c r="A13" s="26" t="str">
        <x:v>LID-TG-004</x:v>
      </x:c>
      <x:c r="B13" s="26" t="str">
        <x:v>R2</x:v>
      </x:c>
      <x:c r="C13" s="26" t="str">
        <x:v>PRD-R2-001, UX-R2-001, ARCH-R2-001, ENG-R2-001, REL-R2-001, QA-R8-001, REL-R8-001, PRD-R9-001, QA-R9-001, REL-R9-001</x:v>
      </x:c>
      <x:c r="D13" s="26" t="str">
        <x:v>Planned and regression-gated.</x:v>
      </x:c>
      <x:c r="E13" s="26" t="str">
        <x:v>Mapped to one or more release-planning, implementation, or acceptance tasks.</x:v>
      </x:c>
      <x:c r="F13" s="26" t="n">
        <x:f>LEN(C13)-LEN(SUBSTITUTE(C13,",",""))+1</x:f>
        <x:v>10</x:v>
      </x:c>
    </x:row>
    <x:row r="14" ht="40" customHeight="1">
      <x:c r="A14" s="26" t="str">
        <x:v>LID-TG-005</x:v>
      </x:c>
      <x:c r="B14" s="26" t="str">
        <x:v>R2</x:v>
      </x:c>
      <x:c r="C14" s="26" t="str">
        <x:v>PRD-R2-001, UX-R2-001, ARCH-R2-001, ENG-R2-001, REL-R2-001, QA-R8-001, REL-R8-001, PRD-R9-001, QA-R9-001, REL-R9-001</x:v>
      </x:c>
      <x:c r="D14" s="26" t="str">
        <x:v>Planned and regression-gated.</x:v>
      </x:c>
      <x:c r="E14" s="26" t="str">
        <x:v>Mapped to one or more release-planning, implementation, or acceptance tasks.</x:v>
      </x:c>
      <x:c r="F14" s="26" t="n">
        <x:f>LEN(C14)-LEN(SUBSTITUTE(C14,",",""))+1</x:f>
        <x:v>10</x:v>
      </x:c>
    </x:row>
    <x:row r="15" ht="40" customHeight="1">
      <x:c r="A15" s="26" t="str">
        <x:v>LID-TG-006</x:v>
      </x:c>
      <x:c r="B15" s="26" t="str">
        <x:v>R2</x:v>
      </x:c>
      <x:c r="C15" s="26" t="str">
        <x:v>PRD-R2-001, UX-R2-001, ARCH-R2-001, ENG-R2-001, REL-R2-001, QA-R8-001, REL-R8-001, PRD-R9-001, QA-R9-001, REL-R9-001</x:v>
      </x:c>
      <x:c r="D15" s="26" t="str">
        <x:v>Planned and regression-gated.</x:v>
      </x:c>
      <x:c r="E15" s="26" t="str">
        <x:v>Mapped to one or more release-planning, implementation, or acceptance tasks.</x:v>
      </x:c>
      <x:c r="F15" s="26" t="n">
        <x:f>LEN(C15)-LEN(SUBSTITUTE(C15,",",""))+1</x:f>
        <x:v>10</x:v>
      </x:c>
    </x:row>
    <x:row r="16" ht="40" customHeight="1">
      <x:c r="A16" s="26" t="str">
        <x:v>LID-TG-007</x:v>
      </x:c>
      <x:c r="B16" s="26" t="str">
        <x:v>R2</x:v>
      </x:c>
      <x:c r="C16" s="26" t="str">
        <x:v>PRD-R2-001, UX-R2-001, ARCH-R2-001, ENG-R2-002, REL-R2-001, QA-R8-001, REL-R8-001, PRD-R9-001, QA-R9-001, REL-R9-001</x:v>
      </x:c>
      <x:c r="D16" s="26" t="str">
        <x:v>Planned and regression-gated.</x:v>
      </x:c>
      <x:c r="E16" s="26" t="str">
        <x:v>Mapped to one or more release-planning, implementation, or acceptance tasks.</x:v>
      </x:c>
      <x:c r="F16" s="26" t="n">
        <x:f>LEN(C16)-LEN(SUBSTITUTE(C16,",",""))+1</x:f>
        <x:v>10</x:v>
      </x:c>
    </x:row>
    <x:row r="17" ht="40" customHeight="1">
      <x:c r="A17" s="26" t="str">
        <x:v>LID-TG-008</x:v>
      </x:c>
      <x:c r="B17" s="26" t="str">
        <x:v>R2</x:v>
      </x:c>
      <x:c r="C17" s="26" t="str">
        <x:v>PRD-R2-001, UX-R2-001, ARCH-R2-001, ENG-R2-002, REL-R2-001, QA-R8-001, REL-R8-001, PRD-R9-001, QA-R9-001, REL-R9-001</x:v>
      </x:c>
      <x:c r="D17" s="26" t="str">
        <x:v>Planned and regression-gated.</x:v>
      </x:c>
      <x:c r="E17" s="26" t="str">
        <x:v>Mapped to one or more release-planning, implementation, or acceptance tasks.</x:v>
      </x:c>
      <x:c r="F17" s="26" t="n">
        <x:f>LEN(C17)-LEN(SUBSTITUTE(C17,",",""))+1</x:f>
        <x:v>10</x:v>
      </x:c>
    </x:row>
    <x:row r="18" ht="40" customHeight="1">
      <x:c r="A18" s="26" t="str">
        <x:v>LID-TG-009</x:v>
      </x:c>
      <x:c r="B18" s="26" t="str">
        <x:v>R2</x:v>
      </x:c>
      <x:c r="C18" s="26" t="str">
        <x:v>PRD-R2-001, UX-R2-001, ARCH-R2-001, ENG-R2-002, REL-R2-001, QA-R8-001, REL-R8-001, PRD-R9-001, QA-R9-001, REL-R9-001</x:v>
      </x:c>
      <x:c r="D18" s="26" t="str">
        <x:v>Planned and regression-gated.</x:v>
      </x:c>
      <x:c r="E18" s="26" t="str">
        <x:v>Mapped to one or more release-planning, implementation, or acceptance tasks.</x:v>
      </x:c>
      <x:c r="F18" s="26" t="n">
        <x:f>LEN(C18)-LEN(SUBSTITUTE(C18,",",""))+1</x:f>
        <x:v>10</x:v>
      </x:c>
    </x:row>
    <x:row r="19" ht="40" customHeight="1">
      <x:c r="A19" s="26" t="str">
        <x:v>LID-TG-010</x:v>
      </x:c>
      <x:c r="B19" s="26" t="str">
        <x:v>R2</x:v>
      </x:c>
      <x:c r="C19" s="26" t="str">
        <x:v>PRD-R2-001, ARCH-R2-001, ENG-R2-002, REL-R2-001, QA-R8-001, REL-R8-001, PRD-R9-001, QA-R9-001, REL-R9-001</x:v>
      </x:c>
      <x:c r="D19" s="26" t="str">
        <x:v>Planned and regression-gated.</x:v>
      </x:c>
      <x:c r="E19" s="26" t="str">
        <x:v>Mapped to one or more release-planning, implementation, or acceptance tasks.</x:v>
      </x:c>
      <x:c r="F19" s="26" t="n">
        <x:f>LEN(C19)-LEN(SUBSTITUTE(C19,",",""))+1</x:f>
        <x:v>9</x:v>
      </x:c>
    </x:row>
    <x:row r="20" ht="40" customHeight="1">
      <x:c r="A20" s="26" t="str">
        <x:v>LID-VN-001</x:v>
      </x:c>
      <x:c r="B20" s="26" t="str">
        <x:v>R5</x:v>
      </x:c>
      <x:c r="C20" s="26" t="str">
        <x:v>SPK-R5-001, PRD-R5-001, ARCH-R5-001, ENG-R5-001, REL-R5-001, QA-R8-001, REL-R8-001, PRD-R9-001, QA-R9-001, REL-R9-001</x:v>
      </x:c>
      <x:c r="D20" s="26" t="str">
        <x:v>Planned and regression-gated.</x:v>
      </x:c>
      <x:c r="E20" s="26" t="str">
        <x:v>Mapped to one or more release-planning, implementation, or acceptance tasks.</x:v>
      </x:c>
      <x:c r="F20" s="26" t="n">
        <x:f>LEN(C20)-LEN(SUBSTITUTE(C20,",",""))+1</x:f>
        <x:v>10</x:v>
      </x:c>
    </x:row>
    <x:row r="21" ht="40" customHeight="1">
      <x:c r="A21" s="26" t="str">
        <x:v>LID-VN-002</x:v>
      </x:c>
      <x:c r="B21" s="26" t="str">
        <x:v>R5</x:v>
      </x:c>
      <x:c r="C21" s="26" t="str">
        <x:v>SPK-R5-001, PRD-R5-001, UX-R5-001, ARCH-R5-001, ENG-R5-001, REL-R5-001, QA-R8-001, REL-R8-001, PRD-R9-001, QA-R9-001, REL-R9-001</x:v>
      </x:c>
      <x:c r="D21" s="26" t="str">
        <x:v>Planned and regression-gated.</x:v>
      </x:c>
      <x:c r="E21" s="26" t="str">
        <x:v>Mapped to one or more release-planning, implementation, or acceptance tasks.</x:v>
      </x:c>
      <x:c r="F21" s="26" t="n">
        <x:f>LEN(C21)-LEN(SUBSTITUTE(C21,",",""))+1</x:f>
        <x:v>11</x:v>
      </x:c>
    </x:row>
    <x:row r="22" ht="40" customHeight="1">
      <x:c r="A22" s="26" t="str">
        <x:v>LID-VN-003</x:v>
      </x:c>
      <x:c r="B22" s="26" t="str">
        <x:v>R5</x:v>
      </x:c>
      <x:c r="C22" s="26" t="str">
        <x:v>SPK-R5-001, PRD-R5-001, UX-R5-001, ARCH-R5-001, ENG-R5-001, REL-R5-001, QA-R8-001, REL-R8-001, PRD-R9-001, QA-R9-001, REL-R9-001</x:v>
      </x:c>
      <x:c r="D22" s="26" t="str">
        <x:v>Planned and regression-gated.</x:v>
      </x:c>
      <x:c r="E22" s="26" t="str">
        <x:v>Mapped to one or more release-planning, implementation, or acceptance tasks.</x:v>
      </x:c>
      <x:c r="F22" s="26" t="n">
        <x:f>LEN(C22)-LEN(SUBSTITUTE(C22,",",""))+1</x:f>
        <x:v>11</x:v>
      </x:c>
    </x:row>
    <x:row r="23" ht="40" customHeight="1">
      <x:c r="A23" s="26" t="str">
        <x:v>LID-VN-004</x:v>
      </x:c>
      <x:c r="B23" s="26" t="str">
        <x:v>R5</x:v>
      </x:c>
      <x:c r="C23" s="26" t="str">
        <x:v>SPK-R5-001, PRD-R5-001, UX-R5-001, ARCH-R5-001, ENG-R5-001, REL-R5-001, QA-R8-001, REL-R8-001, PRD-R9-001, QA-R9-001, REL-R9-001</x:v>
      </x:c>
      <x:c r="D23" s="26" t="str">
        <x:v>Planned and regression-gated.</x:v>
      </x:c>
      <x:c r="E23" s="26" t="str">
        <x:v>Mapped to one or more release-planning, implementation, or acceptance tasks.</x:v>
      </x:c>
      <x:c r="F23" s="26" t="n">
        <x:f>LEN(C23)-LEN(SUBSTITUTE(C23,",",""))+1</x:f>
        <x:v>11</x:v>
      </x:c>
    </x:row>
    <x:row r="24" ht="40" customHeight="1">
      <x:c r="A24" s="26" t="str">
        <x:v>LID-VN-005</x:v>
      </x:c>
      <x:c r="B24" s="26" t="str">
        <x:v>R5</x:v>
      </x:c>
      <x:c r="C24" s="26" t="str">
        <x:v>SPK-R5-001, PRD-R5-001, UX-R5-001, ARCH-R5-001, ENG-R5-001, REL-R5-001, QA-R8-001, REL-R8-001, PRD-R9-001, QA-R9-001, REL-R9-001</x:v>
      </x:c>
      <x:c r="D24" s="26" t="str">
        <x:v>Planned and regression-gated.</x:v>
      </x:c>
      <x:c r="E24" s="26" t="str">
        <x:v>Mapped to one or more release-planning, implementation, or acceptance tasks.</x:v>
      </x:c>
      <x:c r="F24" s="26" t="n">
        <x:f>LEN(C24)-LEN(SUBSTITUTE(C24,",",""))+1</x:f>
        <x:v>11</x:v>
      </x:c>
    </x:row>
    <x:row r="25" ht="40" customHeight="1">
      <x:c r="A25" s="26" t="str">
        <x:v>LID-VN-006</x:v>
      </x:c>
      <x:c r="B25" s="26" t="str">
        <x:v>R5</x:v>
      </x:c>
      <x:c r="C25" s="26" t="str">
        <x:v>PRD-R5-001, UX-R5-001, ARCH-R5-001, ENG-R5-001, REL-R5-001, QA-R8-001, REL-R8-001, PRD-R9-001, QA-R9-001, REL-R9-001</x:v>
      </x:c>
      <x:c r="D25" s="26" t="str">
        <x:v>Planned and regression-gated.</x:v>
      </x:c>
      <x:c r="E25" s="26" t="str">
        <x:v>Mapped to one or more release-planning, implementation, or acceptance tasks.</x:v>
      </x:c>
      <x:c r="F25" s="26" t="n">
        <x:f>LEN(C25)-LEN(SUBSTITUTE(C25,",",""))+1</x:f>
        <x:v>10</x:v>
      </x:c>
    </x:row>
    <x:row r="26" ht="40" customHeight="1">
      <x:c r="A26" s="26" t="str">
        <x:v>LID-VN-007</x:v>
      </x:c>
      <x:c r="B26" s="26" t="str">
        <x:v>R5</x:v>
      </x:c>
      <x:c r="C26" s="26" t="str">
        <x:v>PRD-R5-001, UX-R5-001, ARCH-R5-001, ENG-R5-001, REL-R5-001, QA-R8-001, REL-R8-001, PRD-R9-001, QA-R9-001, REL-R9-001</x:v>
      </x:c>
      <x:c r="D26" s="26" t="str">
        <x:v>Planned and regression-gated.</x:v>
      </x:c>
      <x:c r="E26" s="26" t="str">
        <x:v>Mapped to one or more release-planning, implementation, or acceptance tasks.</x:v>
      </x:c>
      <x:c r="F26" s="26" t="n">
        <x:f>LEN(C26)-LEN(SUBSTITUTE(C26,",",""))+1</x:f>
        <x:v>10</x:v>
      </x:c>
    </x:row>
    <x:row r="27" ht="40" customHeight="1">
      <x:c r="A27" s="26" t="str">
        <x:v>LID-UP-001</x:v>
      </x:c>
      <x:c r="B27" s="26" t="str">
        <x:v>R1</x:v>
      </x:c>
      <x:c r="C27" s="26" t="str">
        <x:v>PRD-R1-001, UX-R1-001, ARCH-R1-001, ENG-R1-001, REL-R1-001, QA-R8-001, REL-R8-001, PRD-R9-001, QA-R9-001, REL-R9-001</x:v>
      </x:c>
      <x:c r="D27" s="26" t="str">
        <x:v>Planned and regression-gated.</x:v>
      </x:c>
      <x:c r="E27" s="26" t="str">
        <x:v>Mapped to one or more release-planning, implementation, or acceptance tasks.</x:v>
      </x:c>
      <x:c r="F27" s="26" t="n">
        <x:f>LEN(C27)-LEN(SUBSTITUTE(C27,",",""))+1</x:f>
        <x:v>10</x:v>
      </x:c>
    </x:row>
    <x:row r="28" ht="40" customHeight="1">
      <x:c r="A28" s="26" t="str">
        <x:v>LID-UP-002</x:v>
      </x:c>
      <x:c r="B28" s="26" t="str">
        <x:v>R1</x:v>
      </x:c>
      <x:c r="C28" s="26" t="str">
        <x:v>PRD-R1-001, ARCH-R1-001, ENG-R1-001, REL-R1-001, QA-R8-001, REL-R8-001, PRD-R9-001, QA-R9-001, REL-R9-001</x:v>
      </x:c>
      <x:c r="D28" s="26" t="str">
        <x:v>Planned and regression-gated.</x:v>
      </x:c>
      <x:c r="E28" s="26" t="str">
        <x:v>Mapped to one or more release-planning, implementation, or acceptance tasks.</x:v>
      </x:c>
      <x:c r="F28" s="26" t="n">
        <x:f>LEN(C28)-LEN(SUBSTITUTE(C28,",",""))+1</x:f>
        <x:v>9</x:v>
      </x:c>
    </x:row>
    <x:row r="29" ht="40" customHeight="1">
      <x:c r="A29" s="26" t="str">
        <x:v>LID-UP-003</x:v>
      </x:c>
      <x:c r="B29" s="26" t="str">
        <x:v>R1</x:v>
      </x:c>
      <x:c r="C29" s="26" t="str">
        <x:v>PRD-R1-001, UX-R1-001, ARCH-R1-001, ENG-R1-001, REL-R1-001, QA-R8-001, REL-R8-001, PRD-R9-001, QA-R9-001, REL-R9-001</x:v>
      </x:c>
      <x:c r="D29" s="26" t="str">
        <x:v>Planned and regression-gated.</x:v>
      </x:c>
      <x:c r="E29" s="26" t="str">
        <x:v>Mapped to one or more release-planning, implementation, or acceptance tasks.</x:v>
      </x:c>
      <x:c r="F29" s="26" t="n">
        <x:f>LEN(C29)-LEN(SUBSTITUTE(C29,",",""))+1</x:f>
        <x:v>10</x:v>
      </x:c>
    </x:row>
    <x:row r="30" ht="40" customHeight="1">
      <x:c r="A30" s="26" t="str">
        <x:v>LID-UP-004</x:v>
      </x:c>
      <x:c r="B30" s="26" t="str">
        <x:v>Deferred</x:v>
      </x:c>
      <x:c r="C30" s="26" t="str">
        <x:v>None — explicitly deferred</x:v>
      </x:c>
      <x:c r="D30" s="26" t="str">
        <x:v>Explicitly deferred; no R0–R10 implementation task.</x:v>
      </x:c>
      <x:c r="E30" s="26" t="str">
        <x:v>Blank composition and unsupported document/OCR ingestion remain outside R0–R10.</x:v>
      </x:c>
      <x:c r="F30" s="26" t="n">
        <x:f>0</x:f>
        <x:v>0</x:v>
      </x:c>
    </x:row>
    <x:row r="31" ht="40" customHeight="1">
      <x:c r="A31" s="26" t="str">
        <x:v>LID-SRC-001</x:v>
      </x:c>
      <x:c r="B31" s="26" t="str">
        <x:v>R4</x:v>
      </x:c>
      <x:c r="C31" s="26" t="str">
        <x:v>PRD-R4-001, UX-R4-001, ARCH-R4-001, ENG-R4-001, REL-R4-001, QA-R8-001, REL-R8-001, PRD-R9-001, QA-R9-001, REL-R9-001</x:v>
      </x:c>
      <x:c r="D31" s="26" t="str">
        <x:v>Planned and regression-gated.</x:v>
      </x:c>
      <x:c r="E31" s="26" t="str">
        <x:v>Mapped to one or more release-planning, implementation, or acceptance tasks.</x:v>
      </x:c>
      <x:c r="F31" s="26" t="n">
        <x:f>LEN(C31)-LEN(SUBSTITUTE(C31,",",""))+1</x:f>
        <x:v>10</x:v>
      </x:c>
    </x:row>
    <x:row r="32" ht="40" customHeight="1">
      <x:c r="A32" s="26" t="str">
        <x:v>LID-SRC-002</x:v>
      </x:c>
      <x:c r="B32" s="26" t="str">
        <x:v>R4</x:v>
      </x:c>
      <x:c r="C32" s="26" t="str">
        <x:v>PRD-R4-001, UX-R4-001, ARCH-R4-001, ENG-R4-001, REL-R4-001, QA-R8-001, REL-R8-001, PRD-R9-001, QA-R9-001, REL-R9-001</x:v>
      </x:c>
      <x:c r="D32" s="26" t="str">
        <x:v>Planned and regression-gated.</x:v>
      </x:c>
      <x:c r="E32" s="26" t="str">
        <x:v>Mapped to one or more release-planning, implementation, or acceptance tasks.</x:v>
      </x:c>
      <x:c r="F32" s="26" t="n">
        <x:f>LEN(C32)-LEN(SUBSTITUTE(C32,",",""))+1</x:f>
        <x:v>10</x:v>
      </x:c>
    </x:row>
    <x:row r="33" ht="40" customHeight="1">
      <x:c r="A33" s="26" t="str">
        <x:v>LID-SRC-003</x:v>
      </x:c>
      <x:c r="B33" s="26" t="str">
        <x:v>R3</x:v>
      </x:c>
      <x:c r="C33" s="26" t="str">
        <x:v>PRD-R3-001, UX-R3-001, ARCH-R3-001, ENG-R3-001, REL-R3-001, QA-R8-001, REL-R8-001, PRD-R9-001, QA-R9-001, REL-R9-001</x:v>
      </x:c>
      <x:c r="D33" s="26" t="str">
        <x:v>Planned and regression-gated.</x:v>
      </x:c>
      <x:c r="E33" s="26" t="str">
        <x:v>Mapped to one or more release-planning, implementation, or acceptance tasks.</x:v>
      </x:c>
      <x:c r="F33" s="26" t="n">
        <x:f>LEN(C33)-LEN(SUBSTITUTE(C33,",",""))+1</x:f>
        <x:v>10</x:v>
      </x:c>
    </x:row>
    <x:row r="34" ht="40" customHeight="1">
      <x:c r="A34" s="26" t="str">
        <x:v>LID-SRC-004</x:v>
      </x:c>
      <x:c r="B34" s="26" t="str">
        <x:v>R4</x:v>
      </x:c>
      <x:c r="C34" s="26" t="str">
        <x:v>PRD-R4-001, UX-R4-001, ARCH-R4-001, ENG-R4-001, REL-R4-001, QA-R8-001, REL-R8-001, PRD-R9-001, QA-R9-001, REL-R9-001</x:v>
      </x:c>
      <x:c r="D34" s="26" t="str">
        <x:v>Planned and regression-gated.</x:v>
      </x:c>
      <x:c r="E34" s="26" t="str">
        <x:v>Mapped to one or more release-planning, implementation, or acceptance tasks.</x:v>
      </x:c>
      <x:c r="F34" s="26" t="n">
        <x:f>LEN(C34)-LEN(SUBSTITUTE(C34,",",""))+1</x:f>
        <x:v>10</x:v>
      </x:c>
    </x:row>
    <x:row r="35" ht="40" customHeight="1">
      <x:c r="A35" s="26" t="str">
        <x:v>LID-REF-001</x:v>
      </x:c>
      <x:c r="B35" s="26" t="str">
        <x:v>R1</x:v>
      </x:c>
      <x:c r="C35" s="26" t="str">
        <x:v>PRD-R1-001, UX-R1-001, ENG-R1-001, REL-R1-001, QA-R8-001, REL-R8-001, PRD-R9-001, QA-R9-001, REL-R9-001</x:v>
      </x:c>
      <x:c r="D35" s="26" t="str">
        <x:v>Planned and regression-gated.</x:v>
      </x:c>
      <x:c r="E35" s="26" t="str">
        <x:v>Mapped to one or more release-planning, implementation, or acceptance tasks.</x:v>
      </x:c>
      <x:c r="F35" s="26" t="n">
        <x:f>LEN(C35)-LEN(SUBSTITUTE(C35,",",""))+1</x:f>
        <x:v>9</x:v>
      </x:c>
    </x:row>
    <x:row r="36" ht="40" customHeight="1">
      <x:c r="A36" s="26" t="str">
        <x:v>LID-REF-002</x:v>
      </x:c>
      <x:c r="B36" s="26" t="str">
        <x:v>R3</x:v>
      </x:c>
      <x:c r="C36" s="26" t="str">
        <x:v>PRD-R3-001, UX-R3-001, ARCH-R3-001, ENG-R3-001, REL-R3-001, QA-R8-001, REL-R8-001, PRD-R9-001, QA-R9-001, REL-R9-001</x:v>
      </x:c>
      <x:c r="D36" s="26" t="str">
        <x:v>Planned and regression-gated.</x:v>
      </x:c>
      <x:c r="E36" s="26" t="str">
        <x:v>Mapped to one or more release-planning, implementation, or acceptance tasks.</x:v>
      </x:c>
      <x:c r="F36" s="26" t="n">
        <x:f>LEN(C36)-LEN(SUBSTITUTE(C36,",",""))+1</x:f>
        <x:v>10</x:v>
      </x:c>
    </x:row>
    <x:row r="37" ht="40" customHeight="1">
      <x:c r="A37" s="26" t="str">
        <x:v>LID-REF-003</x:v>
      </x:c>
      <x:c r="B37" s="26" t="str">
        <x:v>R3</x:v>
      </x:c>
      <x:c r="C37" s="26" t="str">
        <x:v>PRD-R3-001, UX-R3-001, ARCH-R3-001, ENG-R3-001, REL-R3-001, QA-R8-001, REL-R8-001, PRD-R9-001, QA-R9-001, REL-R9-001</x:v>
      </x:c>
      <x:c r="D37" s="26" t="str">
        <x:v>Planned and regression-gated.</x:v>
      </x:c>
      <x:c r="E37" s="26" t="str">
        <x:v>Mapped to one or more release-planning, implementation, or acceptance tasks.</x:v>
      </x:c>
      <x:c r="F37" s="26" t="n">
        <x:f>LEN(C37)-LEN(SUBSTITUTE(C37,",",""))+1</x:f>
        <x:v>10</x:v>
      </x:c>
    </x:row>
    <x:row r="38" ht="40" customHeight="1">
      <x:c r="A38" s="26" t="str">
        <x:v>LID-REF-004</x:v>
      </x:c>
      <x:c r="B38" s="26" t="str">
        <x:v>R1</x:v>
      </x:c>
      <x:c r="C38" s="26" t="str">
        <x:v>PRD-R1-001, UX-R1-001, ENG-R1-001, REL-R1-001, QA-R8-001, REL-R8-001, PRD-R9-001, QA-R9-001, REL-R9-001</x:v>
      </x:c>
      <x:c r="D38" s="26" t="str">
        <x:v>Planned and regression-gated.</x:v>
      </x:c>
      <x:c r="E38" s="26" t="str">
        <x:v>Mapped to one or more release-planning, implementation, or acceptance tasks.</x:v>
      </x:c>
      <x:c r="F38" s="26" t="n">
        <x:f>LEN(C38)-LEN(SUBSTITUTE(C38,",",""))+1</x:f>
        <x:v>9</x:v>
      </x:c>
    </x:row>
    <x:row r="39" ht="40" customHeight="1">
      <x:c r="A39" s="26" t="str">
        <x:v>LID-REF-005</x:v>
      </x:c>
      <x:c r="B39" s="26" t="str">
        <x:v>R1</x:v>
      </x:c>
      <x:c r="C39" s="26" t="str">
        <x:v>PRD-R1-001, UX-R1-001, ENG-R1-001, REL-R1-001, QA-R8-001, REL-R8-001, PRD-R9-001, QA-R9-001, REL-R9-001</x:v>
      </x:c>
      <x:c r="D39" s="26" t="str">
        <x:v>Planned and regression-gated.</x:v>
      </x:c>
      <x:c r="E39" s="26" t="str">
        <x:v>Mapped to one or more release-planning, implementation, or acceptance tasks.</x:v>
      </x:c>
      <x:c r="F39" s="26" t="n">
        <x:f>LEN(C39)-LEN(SUBSTITUTE(C39,",",""))+1</x:f>
        <x:v>9</x:v>
      </x:c>
    </x:row>
    <x:row r="40" ht="73" customHeight="1">
      <x:c r="A40" s="26" t="str">
        <x:v>LID-REF-006</x:v>
      </x:c>
      <x:c r="B40" s="26" t="str">
        <x:v>R1</x:v>
      </x:c>
      <x:c r="C40" s="26" t="str">
        <x:v>PRD-R1-001, UX-R1-001, ENG-R1-001, REL-R1-001, PRD-R3-001, UX-R3-001, ARCH-R3-001, ENG-R3-001, REL-R3-001, PRD-R6-001, UX-R6-001, ARCH-R6-001, ENG-R6-001, REL-R6-001, PRD-R7-001, UX-R7-001, ARCH-R7-001, ENG-R7-001, REL-R7-001, PRD-R8-001, ARCH-R8-001, QA-R8-001, REL-R8-001, PRD-R9-001, QA-R9-001, REL-R9-001</x:v>
      </x:c>
      <x:c r="D40" s="26" t="str">
        <x:v>Planned and regression-gated.</x:v>
      </x:c>
      <x:c r="E40" s="26" t="str">
        <x:v>Mapped to one or more release-planning, implementation, or acceptance tasks.</x:v>
      </x:c>
      <x:c r="F40" s="26" t="n">
        <x:f>LEN(C40)-LEN(SUBSTITUTE(C40,",",""))+1</x:f>
        <x:v>26</x:v>
      </x:c>
    </x:row>
    <x:row r="41" ht="40" customHeight="1">
      <x:c r="A41" s="26" t="str">
        <x:v>LID-REF-007</x:v>
      </x:c>
      <x:c r="B41" s="26" t="str">
        <x:v>R4</x:v>
      </x:c>
      <x:c r="C41" s="26" t="str">
        <x:v>PRD-R4-001, UX-R4-001, ARCH-R4-001, ENG-R4-001, ENG-R4-002, REL-R4-001, QA-R8-001, REL-R8-001, PRD-R9-001, QA-R9-001, REL-R9-001</x:v>
      </x:c>
      <x:c r="D41" s="26" t="str">
        <x:v>Planned and regression-gated.</x:v>
      </x:c>
      <x:c r="E41" s="26" t="str">
        <x:v>Mapped to one or more release-planning, implementation, or acceptance tasks.</x:v>
      </x:c>
      <x:c r="F41" s="26" t="n">
        <x:f>LEN(C41)-LEN(SUBSTITUTE(C41,",",""))+1</x:f>
        <x:v>11</x:v>
      </x:c>
    </x:row>
    <x:row r="42" ht="40" customHeight="1">
      <x:c r="A42" s="26" t="str">
        <x:v>LID-AIT-001</x:v>
      </x:c>
      <x:c r="B42" s="26" t="str">
        <x:v>R6</x:v>
      </x:c>
      <x:c r="C42" s="26" t="str">
        <x:v>EVAL-R6-001, PRD-R6-001, ARCH-R6-001, ENG-R6-001, REL-R6-001, QA-R8-001, REL-R8-001, PRD-R9-001, QA-R9-001, REL-R9-001</x:v>
      </x:c>
      <x:c r="D42" s="26" t="str">
        <x:v>Planned and regression-gated.</x:v>
      </x:c>
      <x:c r="E42" s="26" t="str">
        <x:v>Mapped to one or more release-planning, implementation, or acceptance tasks.</x:v>
      </x:c>
      <x:c r="F42" s="26" t="n">
        <x:f>LEN(C42)-LEN(SUBSTITUTE(C42,",",""))+1</x:f>
        <x:v>10</x:v>
      </x:c>
    </x:row>
    <x:row r="43" ht="47" customHeight="1">
      <x:c r="A43" s="26" t="str">
        <x:v>LID-AIT-002</x:v>
      </x:c>
      <x:c r="B43" s="26" t="str">
        <x:v>R6</x:v>
      </x:c>
      <x:c r="C43" s="26" t="str">
        <x:v>EVAL-R6-001, PRD-R6-001, UX-R6-001, ARCH-R6-001, ENG-R6-001, REL-R6-001, QA-R8-001, REL-R8-001, PRD-R9-001, QA-R9-001, REL-R9-001</x:v>
      </x:c>
      <x:c r="D43" s="26" t="str">
        <x:v>Planned and regression-gated.</x:v>
      </x:c>
      <x:c r="E43" s="26" t="str">
        <x:v>Mapped to one or more release-planning, implementation, or acceptance tasks.</x:v>
      </x:c>
      <x:c r="F43" s="26" t="n">
        <x:f>LEN(C43)-LEN(SUBSTITUTE(C43,",",""))+1</x:f>
        <x:v>11</x:v>
      </x:c>
    </x:row>
    <x:row r="44" ht="47" customHeight="1">
      <x:c r="A44" s="26" t="str">
        <x:v>LID-AIT-003</x:v>
      </x:c>
      <x:c r="B44" s="26" t="str">
        <x:v>R6</x:v>
      </x:c>
      <x:c r="C44" s="26" t="str">
        <x:v>EVAL-R6-001, PRD-R6-001, UX-R6-001, ARCH-R6-001, ENG-R6-001, REL-R6-001, QA-R8-001, REL-R8-001, PRD-R9-001, QA-R9-001, REL-R9-001</x:v>
      </x:c>
      <x:c r="D44" s="26" t="str">
        <x:v>Planned and regression-gated.</x:v>
      </x:c>
      <x:c r="E44" s="26" t="str">
        <x:v>Mapped to one or more release-planning, implementation, or acceptance tasks.</x:v>
      </x:c>
      <x:c r="F44" s="26" t="n">
        <x:f>LEN(C44)-LEN(SUBSTITUTE(C44,",",""))+1</x:f>
        <x:v>11</x:v>
      </x:c>
    </x:row>
    <x:row r="45" ht="40" customHeight="1">
      <x:c r="A45" s="26" t="str">
        <x:v>LID-AIT-004</x:v>
      </x:c>
      <x:c r="B45" s="26" t="str">
        <x:v>R6</x:v>
      </x:c>
      <x:c r="C45" s="26" t="str">
        <x:v>PRD-R6-001, UX-R6-001, ARCH-R6-001, ENG-R6-001, REL-R6-001, QA-R8-001, REL-R8-001, PRD-R9-001, QA-R9-001, REL-R9-001</x:v>
      </x:c>
      <x:c r="D45" s="26" t="str">
        <x:v>Planned and regression-gated.</x:v>
      </x:c>
      <x:c r="E45" s="26" t="str">
        <x:v>Mapped to one or more release-planning, implementation, or acceptance tasks.</x:v>
      </x:c>
      <x:c r="F45" s="26" t="n">
        <x:f>LEN(C45)-LEN(SUBSTITUTE(C45,",",""))+1</x:f>
        <x:v>10</x:v>
      </x:c>
    </x:row>
    <x:row r="46" ht="40" customHeight="1">
      <x:c r="A46" s="26" t="str">
        <x:v>LID-AIT-005</x:v>
      </x:c>
      <x:c r="B46" s="26" t="str">
        <x:v>R6</x:v>
      </x:c>
      <x:c r="C46" s="26" t="str">
        <x:v>PRD-R6-001, UX-R6-001, ARCH-R6-001, ENG-R6-001, REL-R6-001, QA-R8-001, REL-R8-001, PRD-R9-001, QA-R9-001, REL-R9-001</x:v>
      </x:c>
      <x:c r="D46" s="26" t="str">
        <x:v>Planned and regression-gated.</x:v>
      </x:c>
      <x:c r="E46" s="26" t="str">
        <x:v>Mapped to one or more release-planning, implementation, or acceptance tasks.</x:v>
      </x:c>
      <x:c r="F46" s="26" t="n">
        <x:f>LEN(C46)-LEN(SUBSTITUTE(C46,",",""))+1</x:f>
        <x:v>10</x:v>
      </x:c>
    </x:row>
    <x:row r="47" ht="40" customHeight="1">
      <x:c r="A47" s="26" t="str">
        <x:v>LID-AIT-006</x:v>
      </x:c>
      <x:c r="B47" s="26" t="str">
        <x:v>R6</x:v>
      </x:c>
      <x:c r="C47" s="26" t="str">
        <x:v>EVAL-R6-001, PRD-R6-001, ARCH-R6-001, ENG-R6-001, REL-R6-001, QA-R8-001, REL-R8-001, PRD-R9-001, QA-R9-001, REL-R9-001</x:v>
      </x:c>
      <x:c r="D47" s="26" t="str">
        <x:v>Planned and regression-gated.</x:v>
      </x:c>
      <x:c r="E47" s="26" t="str">
        <x:v>Mapped to one or more release-planning, implementation, or acceptance tasks.</x:v>
      </x:c>
      <x:c r="F47" s="26" t="n">
        <x:f>LEN(C47)-LEN(SUBSTITUTE(C47,",",""))+1</x:f>
        <x:v>10</x:v>
      </x:c>
    </x:row>
    <x:row r="48" ht="47" customHeight="1">
      <x:c r="A48" s="26" t="str">
        <x:v>LID-AIT-007</x:v>
      </x:c>
      <x:c r="B48" s="26" t="str">
        <x:v>R6</x:v>
      </x:c>
      <x:c r="C48" s="26" t="str">
        <x:v>EVAL-R6-001, PRD-R6-001, UX-R6-001, ARCH-R6-001, ENG-R6-001, REL-R6-001, QA-R8-001, REL-R8-001, PRD-R9-001, QA-R9-001, REL-R9-001</x:v>
      </x:c>
      <x:c r="D48" s="26" t="str">
        <x:v>Planned and regression-gated.</x:v>
      </x:c>
      <x:c r="E48" s="26" t="str">
        <x:v>Mapped to one or more release-planning, implementation, or acceptance tasks.</x:v>
      </x:c>
      <x:c r="F48" s="26" t="n">
        <x:f>LEN(C48)-LEN(SUBSTITUTE(C48,",",""))+1</x:f>
        <x:v>11</x:v>
      </x:c>
    </x:row>
    <x:row r="49" ht="40" customHeight="1">
      <x:c r="A49" s="26" t="str">
        <x:v>LID-AIA-001</x:v>
      </x:c>
      <x:c r="B49" s="26" t="str">
        <x:v>R7</x:v>
      </x:c>
      <x:c r="C49" s="26" t="str">
        <x:v>EVAL-R7-001, PRD-R7-001, ARCH-R7-001, ENG-R7-001, REL-R7-001, QA-R8-001, REL-R8-001, PRD-R9-001, QA-R9-001, REL-R9-001</x:v>
      </x:c>
      <x:c r="D49" s="26" t="str">
        <x:v>Planned and regression-gated.</x:v>
      </x:c>
      <x:c r="E49" s="26" t="str">
        <x:v>Mapped to one or more release-planning, implementation, or acceptance tasks.</x:v>
      </x:c>
      <x:c r="F49" s="26" t="n">
        <x:f>LEN(C49)-LEN(SUBSTITUTE(C49,",",""))+1</x:f>
        <x:v>10</x:v>
      </x:c>
    </x:row>
    <x:row r="50" ht="40" customHeight="1">
      <x:c r="A50" s="26" t="str">
        <x:v>LID-AIA-002</x:v>
      </x:c>
      <x:c r="B50" s="26" t="str">
        <x:v>R7</x:v>
      </x:c>
      <x:c r="C50" s="26" t="str">
        <x:v>PRD-R7-001, UX-R7-001, ARCH-R7-001, ENG-R7-001, REL-R7-001, QA-R8-001, REL-R8-001, PRD-R9-001, QA-R9-001, REL-R9-001</x:v>
      </x:c>
      <x:c r="D50" s="26" t="str">
        <x:v>Planned and regression-gated.</x:v>
      </x:c>
      <x:c r="E50" s="26" t="str">
        <x:v>Mapped to one or more release-planning, implementation, or acceptance tasks.</x:v>
      </x:c>
      <x:c r="F50" s="26" t="n">
        <x:f>LEN(C50)-LEN(SUBSTITUTE(C50,",",""))+1</x:f>
        <x:v>10</x:v>
      </x:c>
    </x:row>
    <x:row r="51" ht="47" customHeight="1">
      <x:c r="A51" s="26" t="str">
        <x:v>LID-AIA-003</x:v>
      </x:c>
      <x:c r="B51" s="26" t="str">
        <x:v>R7</x:v>
      </x:c>
      <x:c r="C51" s="26" t="str">
        <x:v>EVAL-R7-001, PRD-R7-001, UX-R7-001, ARCH-R7-001, ENG-R7-001, REL-R7-001, QA-R8-001, REL-R8-001, PRD-R9-001, QA-R9-001, REL-R9-001</x:v>
      </x:c>
      <x:c r="D51" s="26" t="str">
        <x:v>Planned and regression-gated.</x:v>
      </x:c>
      <x:c r="E51" s="26" t="str">
        <x:v>Mapped to one or more release-planning, implementation, or acceptance tasks.</x:v>
      </x:c>
      <x:c r="F51" s="26" t="n">
        <x:f>LEN(C51)-LEN(SUBSTITUTE(C51,",",""))+1</x:f>
        <x:v>11</x:v>
      </x:c>
    </x:row>
    <x:row r="52" ht="40" customHeight="1">
      <x:c r="A52" s="26" t="str">
        <x:v>LID-AIA-004</x:v>
      </x:c>
      <x:c r="B52" s="26" t="str">
        <x:v>R7</x:v>
      </x:c>
      <x:c r="C52" s="26" t="str">
        <x:v>PRD-R7-001, ARCH-R7-001, ENG-R7-001, REL-R7-001, QA-R8-001, REL-R8-001, PRD-R9-001, QA-R9-001, REL-R9-001</x:v>
      </x:c>
      <x:c r="D52" s="26" t="str">
        <x:v>Planned and regression-gated.</x:v>
      </x:c>
      <x:c r="E52" s="26" t="str">
        <x:v>Mapped to one or more release-planning, implementation, or acceptance tasks.</x:v>
      </x:c>
      <x:c r="F52" s="26" t="n">
        <x:f>LEN(C52)-LEN(SUBSTITUTE(C52,",",""))+1</x:f>
        <x:v>9</x:v>
      </x:c>
    </x:row>
    <x:row r="53" ht="47" customHeight="1">
      <x:c r="A53" s="26" t="str">
        <x:v>LID-AIA-005</x:v>
      </x:c>
      <x:c r="B53" s="26" t="str">
        <x:v>R7</x:v>
      </x:c>
      <x:c r="C53" s="26" t="str">
        <x:v>EVAL-R7-001, PRD-R7-001, UX-R7-001, ARCH-R7-001, ENG-R7-001, REL-R7-001, QA-R8-001, REL-R8-001, PRD-R9-001, QA-R9-001, REL-R9-001</x:v>
      </x:c>
      <x:c r="D53" s="26" t="str">
        <x:v>Planned and regression-gated.</x:v>
      </x:c>
      <x:c r="E53" s="26" t="str">
        <x:v>Mapped to one or more release-planning, implementation, or acceptance tasks.</x:v>
      </x:c>
      <x:c r="F53" s="26" t="n">
        <x:f>LEN(C53)-LEN(SUBSTITUTE(C53,",",""))+1</x:f>
        <x:v>11</x:v>
      </x:c>
    </x:row>
    <x:row r="54" ht="47" customHeight="1">
      <x:c r="A54" s="26" t="str">
        <x:v>LID-AIA-006</x:v>
      </x:c>
      <x:c r="B54" s="26" t="str">
        <x:v>R7</x:v>
      </x:c>
      <x:c r="C54" s="26" t="str">
        <x:v>EVAL-R7-001, PRD-R7-001, UX-R7-001, ARCH-R7-001, ENG-R7-001, REL-R7-001, QA-R8-001, REL-R8-001, PRD-R9-001, QA-R9-001, REL-R9-001</x:v>
      </x:c>
      <x:c r="D54" s="26" t="str">
        <x:v>Planned and regression-gated.</x:v>
      </x:c>
      <x:c r="E54" s="26" t="str">
        <x:v>Mapped to one or more release-planning, implementation, or acceptance tasks.</x:v>
      </x:c>
      <x:c r="F54" s="26" t="n">
        <x:f>LEN(C54)-LEN(SUBSTITUTE(C54,",",""))+1</x:f>
        <x:v>11</x:v>
      </x:c>
    </x:row>
    <x:row r="55" ht="40" customHeight="1">
      <x:c r="A55" s="26" t="str">
        <x:v>LID-AIA-007</x:v>
      </x:c>
      <x:c r="B55" s="26" t="str">
        <x:v>R7</x:v>
      </x:c>
      <x:c r="C55" s="26" t="str">
        <x:v>PRD-R7-001, UX-R7-001, ARCH-R7-001, ENG-R7-001, REL-R7-001, QA-R8-001, REL-R8-001, PRD-R9-001, QA-R9-001, REL-R9-001</x:v>
      </x:c>
      <x:c r="D55" s="26" t="str">
        <x:v>Planned and regression-gated.</x:v>
      </x:c>
      <x:c r="E55" s="26" t="str">
        <x:v>Mapped to one or more release-planning, implementation, or acceptance tasks.</x:v>
      </x:c>
      <x:c r="F55" s="26" t="n">
        <x:f>LEN(C55)-LEN(SUBSTITUTE(C55,",",""))+1</x:f>
        <x:v>10</x:v>
      </x:c>
    </x:row>
    <x:row r="56" ht="40" customHeight="1">
      <x:c r="A56" s="26" t="str">
        <x:v>LID-AIA-008</x:v>
      </x:c>
      <x:c r="B56" s="26" t="str">
        <x:v>R7</x:v>
      </x:c>
      <x:c r="C56" s="26" t="str">
        <x:v>PRD-R7-001, UX-R7-001, ARCH-R7-001, ENG-R7-001, REL-R7-001, QA-R8-001, REL-R8-001, PRD-R9-001, QA-R9-001, REL-R9-001</x:v>
      </x:c>
      <x:c r="D56" s="26" t="str">
        <x:v>Planned and regression-gated.</x:v>
      </x:c>
      <x:c r="E56" s="26" t="str">
        <x:v>Mapped to one or more release-planning, implementation, or acceptance tasks.</x:v>
      </x:c>
      <x:c r="F56" s="26" t="n">
        <x:f>LEN(C56)-LEN(SUBSTITUTE(C56,",",""))+1</x:f>
        <x:v>10</x:v>
      </x:c>
    </x:row>
    <x:row r="57" ht="40" customHeight="1">
      <x:c r="A57" s="26" t="str">
        <x:v>LID-AIA-009</x:v>
      </x:c>
      <x:c r="B57" s="26" t="str">
        <x:v>R7</x:v>
      </x:c>
      <x:c r="C57" s="26" t="str">
        <x:v>PRD-R7-001, UX-R7-001, ARCH-R7-001, ENG-R7-001, REL-R7-001, QA-R8-001, REL-R8-001, PRD-R9-001, QA-R9-001, REL-R9-001</x:v>
      </x:c>
      <x:c r="D57" s="26" t="str">
        <x:v>Planned and regression-gated.</x:v>
      </x:c>
      <x:c r="E57" s="26" t="str">
        <x:v>Mapped to one or more release-planning, implementation, or acceptance tasks.</x:v>
      </x:c>
      <x:c r="F57" s="26" t="n">
        <x:f>LEN(C57)-LEN(SUBSTITUTE(C57,",",""))+1</x:f>
        <x:v>10</x:v>
      </x:c>
    </x:row>
    <x:row r="58" ht="40" customHeight="1">
      <x:c r="A58" s="26" t="str">
        <x:v>LID-AIA-010</x:v>
      </x:c>
      <x:c r="B58" s="26" t="str">
        <x:v>R7</x:v>
      </x:c>
      <x:c r="C58" s="26" t="str">
        <x:v>PRD-R7-001, UX-R7-001, ARCH-R7-001, ENG-R7-001, REL-R7-001, QA-R8-001, REL-R8-001, PRD-R9-001, QA-R9-001, REL-R9-001</x:v>
      </x:c>
      <x:c r="D58" s="26" t="str">
        <x:v>Planned and regression-gated.</x:v>
      </x:c>
      <x:c r="E58" s="26" t="str">
        <x:v>Mapped to one or more release-planning, implementation, or acceptance tasks.</x:v>
      </x:c>
      <x:c r="F58" s="26" t="n">
        <x:f>LEN(C58)-LEN(SUBSTITUTE(C58,",",""))+1</x:f>
        <x:v>10</x:v>
      </x:c>
    </x:row>
    <x:row r="59" ht="40" customHeight="1">
      <x:c r="A59" s="26" t="str">
        <x:v>LID-AIA-011</x:v>
      </x:c>
      <x:c r="B59" s="26" t="str">
        <x:v>R7</x:v>
      </x:c>
      <x:c r="C59" s="26" t="str">
        <x:v>EVAL-R7-001, PRD-R7-001, ARCH-R7-001, ENG-R7-001, REL-R7-001, QA-R8-001, REL-R8-001, PRD-R9-001, QA-R9-001, REL-R9-001</x:v>
      </x:c>
      <x:c r="D59" s="26" t="str">
        <x:v>Planned and regression-gated.</x:v>
      </x:c>
      <x:c r="E59" s="26" t="str">
        <x:v>Mapped to one or more release-planning, implementation, or acceptance tasks.</x:v>
      </x:c>
      <x:c r="F59" s="26" t="n">
        <x:f>LEN(C59)-LEN(SUBSTITUTE(C59,",",""))+1</x:f>
        <x:v>10</x:v>
      </x:c>
    </x:row>
    <x:row r="60" ht="40" customHeight="1">
      <x:c r="A60" s="26" t="str">
        <x:v>LID-OPS-001</x:v>
      </x:c>
      <x:c r="B60" s="26" t="str">
        <x:v>R0</x:v>
      </x:c>
      <x:c r="C60" s="26" t="str">
        <x:v>SPK-R0-001, PRD-R0-001, UX-R0-001, ARCH-R0-001, ENG-R0-001, REL-R0-001, QA-R8-001, REL-R8-001, PRD-R9-001, QA-R9-001, REL-R9-001</x:v>
      </x:c>
      <x:c r="D60" s="26" t="str">
        <x:v>Planned and regression-gated.</x:v>
      </x:c>
      <x:c r="E60" s="26" t="str">
        <x:v>Mapped to one or more release-planning, implementation, or acceptance tasks.</x:v>
      </x:c>
      <x:c r="F60" s="26" t="n">
        <x:f>LEN(C60)-LEN(SUBSTITUTE(C60,",",""))+1</x:f>
        <x:v>11</x:v>
      </x:c>
    </x:row>
    <x:row r="61" ht="40" customHeight="1">
      <x:c r="A61" s="26" t="str">
        <x:v>LID-OPS-002</x:v>
      </x:c>
      <x:c r="B61" s="26" t="str">
        <x:v>R0</x:v>
      </x:c>
      <x:c r="C61" s="26" t="str">
        <x:v>SPK-R0-001, PRD-R0-001, ARCH-R0-001, ENG-R0-001, REL-R0-001, QA-R8-001, REL-R8-001, PRD-R9-001, QA-R9-001, REL-R9-001</x:v>
      </x:c>
      <x:c r="D61" s="26" t="str">
        <x:v>Planned and regression-gated.</x:v>
      </x:c>
      <x:c r="E61" s="26" t="str">
        <x:v>Mapped to one or more release-planning, implementation, or acceptance tasks.</x:v>
      </x:c>
      <x:c r="F61" s="26" t="n">
        <x:f>LEN(C61)-LEN(SUBSTITUTE(C61,",",""))+1</x:f>
        <x:v>10</x:v>
      </x:c>
    </x:row>
    <x:row r="62" ht="40" customHeight="1">
      <x:c r="A62" s="26" t="str">
        <x:v>LID-OPS-003</x:v>
      </x:c>
      <x:c r="B62" s="26" t="str">
        <x:v>R0</x:v>
      </x:c>
      <x:c r="C62" s="26" t="str">
        <x:v>SPK-R0-001, PRD-R0-001, ARCH-R0-001, ENG-R0-001, REL-R0-001, QA-R8-001, REL-R8-001, PRD-R9-001, QA-R9-001, REL-R9-001</x:v>
      </x:c>
      <x:c r="D62" s="26" t="str">
        <x:v>Planned and regression-gated.</x:v>
      </x:c>
      <x:c r="E62" s="26" t="str">
        <x:v>Mapped to one or more release-planning, implementation, or acceptance tasks.</x:v>
      </x:c>
      <x:c r="F62" s="26" t="n">
        <x:f>LEN(C62)-LEN(SUBSTITUTE(C62,",",""))+1</x:f>
        <x:v>10</x:v>
      </x:c>
    </x:row>
    <x:row r="63" ht="40" customHeight="1">
      <x:c r="A63" s="26" t="str">
        <x:v>LID-OPS-004</x:v>
      </x:c>
      <x:c r="B63" s="26" t="str">
        <x:v>R0</x:v>
      </x:c>
      <x:c r="C63" s="26" t="str">
        <x:v>SPK-R0-001, PRD-R0-001, ARCH-R0-001, ENG-R0-001, REL-R0-001, QA-R8-001, REL-R8-001, PRD-R9-001, QA-R9-001, REL-R9-001</x:v>
      </x:c>
      <x:c r="D63" s="26" t="str">
        <x:v>Planned and regression-gated.</x:v>
      </x:c>
      <x:c r="E63" s="26" t="str">
        <x:v>Mapped to one or more release-planning, implementation, or acceptance tasks.</x:v>
      </x:c>
      <x:c r="F63" s="26" t="n">
        <x:f>LEN(C63)-LEN(SUBSTITUTE(C63,",",""))+1</x:f>
        <x:v>10</x:v>
      </x:c>
    </x:row>
    <x:row r="64" ht="40" customHeight="1">
      <x:c r="A64" s="26" t="str">
        <x:v>LID-OPS-005</x:v>
      </x:c>
      <x:c r="B64" s="26" t="str">
        <x:v>R2</x:v>
      </x:c>
      <x:c r="C64" s="26" t="str">
        <x:v>PRD-R2-001, ARCH-R2-001, ENG-R2-001, REL-R2-001, QA-R8-001, REL-R8-001, PRD-R9-001, QA-R9-001, REL-R9-001</x:v>
      </x:c>
      <x:c r="D64" s="26" t="str">
        <x:v>Planned and regression-gated.</x:v>
      </x:c>
      <x:c r="E64" s="26" t="str">
        <x:v>Mapped to one or more release-planning, implementation, or acceptance tasks.</x:v>
      </x:c>
      <x:c r="F64" s="26" t="n">
        <x:f>LEN(C64)-LEN(SUBSTITUTE(C64,",",""))+1</x:f>
        <x:v>9</x:v>
      </x:c>
    </x:row>
    <x:row r="65" ht="40" customHeight="1">
      <x:c r="A65" s="26" t="str">
        <x:v>LID-OPS-006</x:v>
      </x:c>
      <x:c r="B65" s="26" t="str">
        <x:v>R8</x:v>
      </x:c>
      <x:c r="C65" s="26" t="str">
        <x:v>PRD-R8-001, ARCH-R8-001, QA-R8-001, REL-R8-001, PRD-R9-001, QA-R9-001, REL-R9-001, PID-R10-001, ARCH-R10-001, REL-R10-001</x:v>
      </x:c>
      <x:c r="D65" s="26" t="str">
        <x:v>Planned and regression-gated.</x:v>
      </x:c>
      <x:c r="E65" s="26" t="str">
        <x:v>Mapped to one or more release-planning, implementation, or acceptance tasks.</x:v>
      </x:c>
      <x:c r="F65" s="26" t="n">
        <x:f>LEN(C65)-LEN(SUBSTITUTE(C65,",",""))+1</x:f>
        <x:v>10</x:v>
      </x:c>
    </x:row>
    <x:row r="66" ht="40" customHeight="1">
      <x:c r="A66" s="26" t="str">
        <x:v>LID-OPS-007</x:v>
      </x:c>
      <x:c r="B66" s="26" t="str">
        <x:v>R9</x:v>
      </x:c>
      <x:c r="C66" s="26" t="str">
        <x:v>QA-R8-001, REL-R8-001, PRD-R9-001, QA-R9-001, REL-R9-001, PID-R10-001, ARCH-R10-001, REL-R10-001</x:v>
      </x:c>
      <x:c r="D66" s="26" t="str">
        <x:v>Planned and regression-gated.</x:v>
      </x:c>
      <x:c r="E66" s="26" t="str">
        <x:v>Mapped to one or more release-planning, implementation, or acceptance tasks.</x:v>
      </x:c>
      <x:c r="F66" s="26" t="n">
        <x:f>LEN(C66)-LEN(SUBSTITUTE(C66,",",""))+1</x:f>
        <x:v>8</x:v>
      </x:c>
    </x:row>
    <x:row r="67" ht="47" customHeight="1">
      <x:c r="A67" s="26" t="str">
        <x:v>LID-OPS-008</x:v>
      </x:c>
      <x:c r="B67" s="26" t="str">
        <x:v>R0</x:v>
      </x:c>
      <x:c r="C67" s="26" t="str">
        <x:v>SPK-R0-001, PRD-R0-001, ARCH-R0-001, ENG-R0-001, REL-R0-001, QA-R8-001, REL-R8-001, PRD-R9-001, QA-R9-001, REL-R9-001, PID-R10-001, ARCH-R10-001, REL-R10-001</x:v>
      </x:c>
      <x:c r="D67" s="26" t="str">
        <x:v>Planned and regression-gated.</x:v>
      </x:c>
      <x:c r="E67" s="26" t="str">
        <x:v>Mapped to one or more release-planning, implementation, or acceptance tasks.</x:v>
      </x:c>
      <x:c r="F67" s="26" t="n">
        <x:f>LEN(C67)-LEN(SUBSTITUTE(C67,",",""))+1</x:f>
        <x:v>13</x:v>
      </x:c>
    </x:row>
    <x:row r="68" ht="40" customHeight="1">
      <x:c r="A68" s="26" t="str">
        <x:v>LID-OPS-009</x:v>
      </x:c>
      <x:c r="B68" s="26" t="str">
        <x:v>R2</x:v>
      </x:c>
      <x:c r="C68" s="26" t="str">
        <x:v>PRD-R2-001, ARCH-R2-001, ENG-R2-002, REL-R2-001, QA-R8-001, REL-R8-001, PRD-R9-001, QA-R9-001, REL-R9-001</x:v>
      </x:c>
      <x:c r="D68" s="26" t="str">
        <x:v>Planned and regression-gated.</x:v>
      </x:c>
      <x:c r="E68" s="26" t="str">
        <x:v>Mapped to one or more release-planning, implementation, or acceptance tasks.</x:v>
      </x:c>
      <x:c r="F68" s="26" t="n">
        <x:f>LEN(C68)-LEN(SUBSTITUTE(C68,",",""))+1</x:f>
        <x:v>9</x:v>
      </x:c>
    </x:row>
    <x:row r="69" ht="40" customHeight="1">
      <x:c r="A69" s="26" t="str">
        <x:v>LID-OPS-010</x:v>
      </x:c>
      <x:c r="B69" s="26" t="str">
        <x:v>R4</x:v>
      </x:c>
      <x:c r="C69" s="26" t="str">
        <x:v>PRD-R4-001, UX-R4-001, ARCH-R4-001, ENG-R4-002, REL-R4-001, QA-R8-001, REL-R8-001, PRD-R9-001, QA-R9-001, REL-R9-001</x:v>
      </x:c>
      <x:c r="D69" s="26" t="str">
        <x:v>Planned and regression-gated.</x:v>
      </x:c>
      <x:c r="E69" s="26" t="str">
        <x:v>Mapped to one or more release-planning, implementation, or acceptance tasks.</x:v>
      </x:c>
      <x:c r="F69" s="26" t="n">
        <x:f>LEN(C69)-LEN(SUBSTITUTE(C69,",",""))+1</x:f>
        <x:v>10</x:v>
      </x:c>
    </x:row>
    <x:row r="70" ht="125" customHeight="1">
      <x:c r="A70" s="26" t="str">
        <x:v>LID-OPS-011</x:v>
      </x:c>
      <x:c r="B70" s="26" t="str">
        <x:v>R0</x:v>
      </x:c>
      <x:c r="C70" s="26" t="str">
        <x:v>SPK-R0-001, PRD-R0-001, ARCH-R0-001, ENG-R0-001, REL-R0-001, PRD-R1-001, ARCH-R1-001, ENG-R1-001, REL-R1-001, PRD-R2-001, ARCH-R2-001, ENG-R2-001, ENG-R2-002, REL-R2-001, PRD-R3-001, ARCH-R3-001, ENG-R3-001, REL-R3-001, PRD-R4-001, ARCH-R4-001, ENG-R4-001, ENG-R4-002, REL-R4-001, PRD-R5-001, ARCH-R5-001, ENG-R5-001, REL-R5-001, PRD-R6-001, ARCH-R6-001, ENG-R6-001, REL-R6-001, PRD-R7-001, ARCH-R7-001, ENG-R7-001, REL-R7-001, PRD-R8-001, ARCH-R8-001, QA-R8-001, REL-R8-001, PRD-R9-001, QA-R9-001, REL-R9-001, PID-R10-001, ARCH-R10-001, REL-R10-001</x:v>
      </x:c>
      <x:c r="D70" s="26" t="str">
        <x:v>Planned and regression-gated.</x:v>
      </x:c>
      <x:c r="E70" s="26" t="str">
        <x:v>Mapped to one or more release-planning, implementation, or acceptance tasks.</x:v>
      </x:c>
      <x:c r="F70" s="26" t="n">
        <x:f>LEN(C70)-LEN(SUBSTITUTE(C70,",",""))+1</x:f>
        <x:v>45</x:v>
      </x:c>
    </x:row>
    <x:row r="71" ht="40" customHeight="1">
      <x:c r="A71" s="26" t="str">
        <x:v>LID-OPS-012</x:v>
      </x:c>
      <x:c r="B71" s="26" t="str">
        <x:v>R0</x:v>
      </x:c>
      <x:c r="C71" s="26" t="str">
        <x:v>SPK-R0-001, PRD-R0-001, UX-R0-001, ARCH-R0-001, ENG-R0-001, REL-R0-001, QA-R8-001, REL-R8-001, PRD-R9-001, QA-R9-001, REL-R9-001</x:v>
      </x:c>
      <x:c r="D71" s="26" t="str">
        <x:v>Planned and regression-gated.</x:v>
      </x:c>
      <x:c r="E71" s="26" t="str">
        <x:v>Mapped to one or more release-planning, implementation, or acceptance tasks.</x:v>
      </x:c>
      <x:c r="F71" s="26" t="n">
        <x:f>LEN(C71)-LEN(SUBSTITUTE(C71,",",""))+1</x:f>
        <x:v>11</x:v>
      </x:c>
    </x:row>
    <x:row r="72" ht="40" customHeight="1">
      <x:c r="A72" s="26" t="str">
        <x:v>LID-OPS-013</x:v>
      </x:c>
      <x:c r="B72" s="26" t="str">
        <x:v>R4</x:v>
      </x:c>
      <x:c r="C72" s="26" t="str">
        <x:v>PRD-R4-001, UX-R4-001, ARCH-R4-001, ENG-R4-002, REL-R4-001, QA-R8-001, REL-R8-001, PRD-R9-001, QA-R9-001, REL-R9-001</x:v>
      </x:c>
      <x:c r="D72" s="26" t="str">
        <x:v>Planned and regression-gated.</x:v>
      </x:c>
      <x:c r="E72" s="26" t="str">
        <x:v>Mapped to one or more release-planning, implementation, or acceptance tasks.</x:v>
      </x:c>
      <x:c r="F72" s="26" t="n">
        <x:f>LEN(C72)-LEN(SUBSTITUTE(C72,",",""))+1</x:f>
        <x:v>10</x:v>
      </x:c>
    </x:row>
    <x:row r="73" ht="60" customHeight="1">
      <x:c r="A73" s="26" t="str">
        <x:v>LID-OPS-014</x:v>
      </x:c>
      <x:c r="B73" s="26" t="str">
        <x:v>R0</x:v>
      </x:c>
      <x:c r="C73" s="26" t="str">
        <x:v>SPK-R0-001, PRD-R0-001, UX-R0-001, ARCH-R0-001, ENG-R0-001, REL-R0-001, PRD-R8-001, ARCH-R8-001, QA-R8-001, REL-R8-001, PRD-R9-001, QA-R9-001, REL-R9-001, PID-R10-001, ARCH-R10-001, REL-R10-001</x:v>
      </x:c>
      <x:c r="D73" s="26" t="str">
        <x:v>Planned and regression-gated.</x:v>
      </x:c>
      <x:c r="E73" s="26" t="str">
        <x:v>Mapped to one or more release-planning, implementation, or acceptance tasks.</x:v>
      </x:c>
      <x:c r="F73" s="26" t="n">
        <x:f>LEN(C73)-LEN(SUBSTITUTE(C73,",",""))+1</x:f>
        <x:v>16</x:v>
      </x:c>
    </x:row>
    <x:row r="74" ht="47" customHeight="1">
      <x:c r="A74" s="26" t="str">
        <x:v>LID-OPS-015</x:v>
      </x:c>
      <x:c r="B74" s="26" t="str">
        <x:v>R2</x:v>
      </x:c>
      <x:c r="C74" s="26" t="str">
        <x:v>PRD-R2-001, UX-R2-001, ARCH-R2-001, ENG-R2-001, REL-R2-001, PRD-R5-001, UX-R5-001, ARCH-R5-001, ENG-R5-001, REL-R5-001, QA-R8-001, REL-R8-001, PRD-R9-001, QA-R9-001, REL-R9-001</x:v>
      </x:c>
      <x:c r="D74" s="26" t="str">
        <x:v>Planned and regression-gated.</x:v>
      </x:c>
      <x:c r="E74" s="26" t="str">
        <x:v>Mapped to one or more release-planning, implementation, or acceptance tasks.</x:v>
      </x:c>
      <x:c r="F74" s="26" t="n">
        <x:f>LEN(C74)-LEN(SUBSTITUTE(C74,",",""))+1</x:f>
        <x:v>15</x:v>
      </x:c>
    </x:row>
    <x:row r="75" ht="40" customHeight="1">
      <x:c r="A75" s="26" t="str">
        <x:v>LID-OPS-016</x:v>
      </x:c>
      <x:c r="B75" s="26" t="str">
        <x:v>R0</x:v>
      </x:c>
      <x:c r="C75" s="26" t="str">
        <x:v>SPK-R0-001, PRD-R0-001, ARCH-R0-001, ENG-R0-001, REL-R0-001, QA-R8-001, REL-R8-001, PRD-R9-001, QA-R9-001, REL-R9-001</x:v>
      </x:c>
      <x:c r="D75" s="26" t="str">
        <x:v>Planned and regression-gated.</x:v>
      </x:c>
      <x:c r="E75" s="26" t="str">
        <x:v>Mapped to one or more release-planning, implementation, or acceptance tasks.</x:v>
      </x:c>
      <x:c r="F75" s="26" t="n">
        <x:f>LEN(C75)-LEN(SUBSTITUTE(C75,",",""))+1</x:f>
        <x:v>10</x:v>
      </x:c>
    </x:row>
    <x:row r="76" ht="60" customHeight="1">
      <x:c r="A76" s="26" t="str">
        <x:v>LID-OPS-017</x:v>
      </x:c>
      <x:c r="B76" s="26" t="str">
        <x:v>R6</x:v>
      </x:c>
      <x:c r="C76" s="26" t="str">
        <x:v>EVAL-R6-001, PRD-R6-001, UX-R6-001, ARCH-R6-001, ENG-R6-001, REL-R6-001, EVAL-R7-001, PRD-R7-001, UX-R7-001, ARCH-R7-001, ENG-R7-001, REL-R7-001, QA-R8-001, REL-R8-001, PRD-R9-001, QA-R9-001, REL-R9-001</x:v>
      </x:c>
      <x:c r="D76" s="26" t="str">
        <x:v>Planned and regression-gated.</x:v>
      </x:c>
      <x:c r="E76" s="26" t="str">
        <x:v>Mapped to one or more release-planning, implementation, or acceptance tasks.</x:v>
      </x:c>
      <x:c r="F76" s="26" t="n">
        <x:f>LEN(C76)-LEN(SUBSTITUTE(C76,",",""))+1</x:f>
        <x:v>17</x:v>
      </x:c>
    </x:row>
    <x:row r="77" ht="125" customHeight="1">
      <x:c r="A77" s="26" t="str">
        <x:v>LID-OPS-018</x:v>
      </x:c>
      <x:c r="B77" s="26" t="str">
        <x:v>R0</x:v>
      </x:c>
      <x:c r="C77" s="26" t="str">
        <x:v>SPK-R0-001, PRD-R0-001, UX-R0-001, ARCH-R0-001, ENG-R0-001, REL-R0-001, PRD-R1-001, ARCH-R1-001, ENG-R1-001, REL-R1-001, PRD-R2-001, ARCH-R2-001, ENG-R2-001, ENG-R2-002, REL-R2-001, PRD-R3-001, ARCH-R3-001, ENG-R3-001, REL-R3-001, PRD-R4-001, ARCH-R4-001, ENG-R4-001, ENG-R4-002, REL-R4-001, PRD-R5-001, ARCH-R5-001, ENG-R5-001, REL-R5-001, PRD-R6-001, ARCH-R6-001, ENG-R6-001, REL-R6-001, PRD-R7-001, ARCH-R7-001, ENG-R7-001, REL-R7-001, PRD-R8-001, ARCH-R8-001, QA-R8-001, REL-R8-001, PRD-R9-001, QA-R9-001, REL-R9-001, PID-R10-001, ARCH-R10-001, REL-R10-001</x:v>
      </x:c>
      <x:c r="D77" s="26" t="str">
        <x:v>Planned and regression-gated.</x:v>
      </x:c>
      <x:c r="E77" s="26" t="str">
        <x:v>Mapped to one or more release-planning, implementation, or acceptance tasks.</x:v>
      </x:c>
      <x:c r="F77" s="26" t="n">
        <x:f>LEN(C77)-LEN(SUBSTITUTE(C77,",",""))+1</x:f>
        <x:v>46</x:v>
      </x:c>
    </x:row>
    <x:row r="78" ht="40" customHeight="1">
      <x:c r="A78" s="26" t="str">
        <x:v>LID-DEF-001</x:v>
      </x:c>
      <x:c r="B78" s="26" t="str">
        <x:v>Deferred</x:v>
      </x:c>
      <x:c r="C78" s="26" t="str">
        <x:v>None — explicitly deferred</x:v>
      </x:c>
      <x:c r="D78" s="26" t="str">
        <x:v>Explicitly deferred; no R0–R10 implementation task.</x:v>
      </x:c>
      <x:c r="E78" s="26" t="str">
        <x:v>Historical VoiceNotes import is deferred.</x:v>
      </x:c>
      <x:c r="F78" s="26" t="n">
        <x:f>0</x:f>
        <x:v>0</x:v>
      </x:c>
    </x:row>
    <x:row r="79" ht="40" customHeight="1">
      <x:c r="A79" s="26" t="str">
        <x:v>LID-DEF-002</x:v>
      </x:c>
      <x:c r="B79" s="26" t="str">
        <x:v>Deferred</x:v>
      </x:c>
      <x:c r="C79" s="26" t="str">
        <x:v>None — explicitly deferred</x:v>
      </x:c>
      <x:c r="D79" s="26" t="str">
        <x:v>Explicitly deferred; no R0–R10 implementation task.</x:v>
      </x:c>
      <x:c r="E79" s="26" t="str">
        <x:v>Coaching, themes, streaks, reminders, and resurfacing are deferred.</x:v>
      </x:c>
      <x:c r="F79" s="26" t="n">
        <x:f>0</x:f>
        <x:v>0</x:v>
      </x:c>
    </x:row>
    <x:row r="80" ht="40" customHeight="1">
      <x:c r="A80" s="26" t="str">
        <x:v>LID-DEF-003</x:v>
      </x:c>
      <x:c r="B80" s="26" t="str">
        <x:v>Deferred</x:v>
      </x:c>
      <x:c r="C80" s="26" t="str">
        <x:v>None — explicitly deferred</x:v>
      </x:c>
      <x:c r="D80" s="26" t="str">
        <x:v>Explicitly deferred; no R0–R10 implementation task.</x:v>
      </x:c>
      <x:c r="E80" s="26" t="str">
        <x:v>Semantic, conversational, and question-answering retrieval is deferred.</x:v>
      </x:c>
      <x:c r="F80" s="26" t="n">
        <x:f>0</x:f>
        <x:v>0</x:v>
      </x:c>
    </x:row>
    <x:row r="81" ht="40" customHeight="1">
      <x:c r="A81" s="26" t="str">
        <x:v>LID-DEF-004</x:v>
      </x:c>
      <x:c r="B81" s="26" t="str">
        <x:v>Deferred</x:v>
      </x:c>
      <x:c r="C81" s="26" t="str">
        <x:v>None — explicitly deferred</x:v>
      </x:c>
      <x:c r="D81" s="26" t="str">
        <x:v>Explicitly deferred; no R0–R10 implementation task.</x:v>
      </x:c>
      <x:c r="E81" s="26" t="str">
        <x:v>Year mosaic, media wall, maps, and native/offline applications are deferred.</x:v>
      </x:c>
      <x:c r="F81" s="26" t="n">
        <x:f>0</x:f>
        <x:v>0</x:v>
      </x:c>
    </x:row>
    <x:row r="82" ht="40" customHeight="1">
      <x:c r="A82" s="26" t="str">
        <x:v>LID-DEF-005</x:v>
      </x:c>
      <x:c r="B82" s="26" t="str">
        <x:v>Deferred</x:v>
      </x:c>
      <x:c r="C82" s="26" t="str">
        <x:v>None — explicitly deferred</x:v>
      </x:c>
      <x:c r="D82" s="26" t="str">
        <x:v>Explicitly deferred; no R0–R10 implementation task.</x:v>
      </x:c>
      <x:c r="E82" s="26" t="str">
        <x:v>PDF/Word/OCR ingestion, books/printing, and immutable export are deferred.</x:v>
      </x:c>
      <x:c r="F82" s="26" t="n">
        <x:f>0</x:f>
        <x:v>0</x:v>
      </x:c>
    </x:row>
    <x:row r="83" ht="40" customHeight="1">
      <x:c r="A83" s="26" t="str">
        <x:v>LID-DEF-006</x:v>
      </x:c>
      <x:c r="B83" s="26" t="str">
        <x:v>Deferred</x:v>
      </x:c>
      <x:c r="C83" s="26" t="str">
        <x:v>None — explicitly deferred</x:v>
      </x:c>
      <x:c r="D83" s="26" t="str">
        <x:v>Explicitly deferred; no R0–R10 implementation task.</x:v>
      </x:c>
      <x:c r="E83" s="26" t="str">
        <x:v>Additional or fuzzy VoiceNotes tag eligibility is deferred.</x:v>
      </x:c>
      <x:c r="F83" s="26" t="n">
        <x:f>0</x:f>
        <x:v>0</x:v>
      </x:c>
    </x:row>
  </x:sheetData>
  <x:mergeCells>
    <x:mergeCell ref="A1:F2"/>
    <x:mergeCell ref="A3:F3"/>
  </x:mergeCells>
  <x:conditionalFormatting sqref="B6:B83">
    <x:cfRule type="containsText" dxfId="24" priority="1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3090552eaa047d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8" hidden="0" customWidth="1"/>
    <x:col min="3" max="3" width="14" hidden="0" customWidth="1"/>
    <x:col min="4" max="4" width="14" hidden="0" customWidth="1"/>
    <x:col min="5" max="5" width="30" hidden="0" customWidth="1"/>
    <x:col min="6" max="6" width="32" hidden="0" customWidth="1"/>
    <x:col min="7" max="7" width="52" hidden="0" customWidth="1"/>
    <x:col min="8" max="8" width="30" hidden="0" customWidth="1"/>
  </x:cols>
  <x:sheetData>
    <x:row r="1" ht="28" customHeight="1">
      <x:c r="A1" s="5" t="str">
        <x:v>Delivery Risks, Assumptions, Dependencies, and Release Gates</x:v>
      </x:c>
      <x:c r="B1" s="5" t="str">
        <x:v>Delivery Risks, Assumptions, Dependencies, and Release Gates</x:v>
      </x:c>
      <x:c r="C1" s="5" t="str">
        <x:v>Delivery Risks, Assumptions, Dependencies, and Release Gates</x:v>
      </x:c>
      <x:c r="D1" s="5" t="str">
        <x:v>Delivery Risks, Assumptions, Dependencies, and Release Gates</x:v>
      </x:c>
      <x:c r="E1" s="5" t="str">
        <x:v>Delivery Risks, Assumptions, Dependencies, and Release Gates</x:v>
      </x:c>
      <x:c r="F1" s="5" t="str">
        <x:v>Delivery Risks, Assumptions, Dependencies, and Release Gates</x:v>
      </x:c>
      <x:c r="G1" s="5" t="str">
        <x:v>Delivery Risks, Assumptions, Dependencies, and Release Gates</x:v>
      </x:c>
      <x:c r="H1" s="5" t="str">
        <x:v>Delivery Risks, Assumptions, Dependencies, and Release Gates</x:v>
      </x:c>
    </x:row>
    <x:row r="2" ht="28" customHeight="1">
      <x:c r="A2" s="5" t="str">
        <x:v>Delivery Risks, Assumptions, Dependencies, and Release Gates</x:v>
      </x:c>
      <x:c r="B2" s="5" t="str">
        <x:v>Delivery Risks, Assumptions, Dependencies, and Release Gates</x:v>
      </x:c>
      <x:c r="C2" s="5" t="str">
        <x:v>Delivery Risks, Assumptions, Dependencies, and Release Gates</x:v>
      </x:c>
      <x:c r="D2" s="5" t="str">
        <x:v>Delivery Risks, Assumptions, Dependencies, and Release Gates</x:v>
      </x:c>
      <x:c r="E2" s="5" t="str">
        <x:v>Delivery Risks, Assumptions, Dependencies, and Release Gates</x:v>
      </x:c>
      <x:c r="F2" s="5" t="str">
        <x:v>Delivery Risks, Assumptions, Dependencies, and Release Gates</x:v>
      </x:c>
      <x:c r="G2" s="5" t="str">
        <x:v>Delivery Risks, Assumptions, Dependencies, and Release Gates</x:v>
      </x:c>
      <x:c r="H2" s="5" t="str">
        <x:v>Delivery Risks, Assumptions, Dependencies, and Release Gates</x:v>
      </x:c>
    </x:row>
    <x:row r="3" ht="34" customHeight="1">
      <x:c r="A3" s="14" t="str">
        <x:v>Risk responses preserve privacy, recovery, accessibility, and co-resident safety before schedule. Unknown live/provider facts remain evidence-gated.</x:v>
      </x:c>
      <x:c r="B3" s="15" t="str">
        <x:v>Risk responses preserve privacy, recovery, accessibility, and co-resident safety before schedule. Unknown live/provider facts remain evidence-gated.</x:v>
      </x:c>
      <x:c r="C3" s="15" t="str">
        <x:v>Risk responses preserve privacy, recovery, accessibility, and co-resident safety before schedule. Unknown live/provider facts remain evidence-gated.</x:v>
      </x:c>
      <x:c r="D3" s="15" t="str">
        <x:v>Risk responses preserve privacy, recovery, accessibility, and co-resident safety before schedule. Unknown live/provider facts remain evidence-gated.</x:v>
      </x:c>
      <x:c r="E3" s="15" t="str">
        <x:v>Risk responses preserve privacy, recovery, accessibility, and co-resident safety before schedule. Unknown live/provider facts remain evidence-gated.</x:v>
      </x:c>
      <x:c r="F3" s="15" t="str">
        <x:v>Risk responses preserve privacy, recovery, accessibility, and co-resident safety before schedule. Unknown live/provider facts remain evidence-gated.</x:v>
      </x:c>
      <x:c r="G3" s="15" t="str">
        <x:v>Risk responses preserve privacy, recovery, accessibility, and co-resident safety before schedule. Unknown live/provider facts remain evidence-gated.</x:v>
      </x:c>
      <x:c r="H3" s="16" t="str">
        <x:v>Risk responses preserve privacy, recovery, accessibility, and co-resident safety before schedule. Unknown live/provider facts remain evidence-gated.</x:v>
      </x:c>
    </x:row>
    <x:row r="5" ht="30" customHeight="1">
      <x:c r="A5" s="22" t="str">
        <x:v>ID</x:v>
      </x:c>
      <x:c r="B5" s="22" t="str">
        <x:v>Type</x:v>
      </x:c>
      <x:c r="C5" s="22" t="str">
        <x:v>Milestone</x:v>
      </x:c>
      <x:c r="D5" s="22" t="str">
        <x:v>Risk / assumption / dependency</x:v>
      </x:c>
      <x:c r="E5" s="22" t="str">
        <x:v>Owner</x:v>
      </x:c>
      <x:c r="F5" s="22" t="str">
        <x:v>Trigger</x:v>
      </x:c>
      <x:c r="G5" s="22" t="str">
        <x:v>Response</x:v>
      </x:c>
      <x:c r="H5" s="22" t="str">
        <x:v>Status</x:v>
      </x:c>
    </x:row>
    <x:row r="6" ht="62" customHeight="1">
      <x:c r="A6" s="26" t="str">
        <x:v>RAID-001</x:v>
      </x:c>
      <x:c r="B6" s="26" t="str">
        <x:v>Risk</x:v>
      </x:c>
      <x:c r="C6" s="26" t="str">
        <x:v>R0</x:v>
      </x:c>
      <x:c r="D6" s="26" t="str">
        <x:v>Shared-host contention or namespace/routing collision harms an existing service.</x:v>
      </x:c>
      <x:c r="E6" s="26" t="str">
        <x:v>Technical Architect</x:v>
      </x:c>
      <x:c r="F6" s="26" t="str">
        <x:v>R0 entry/exit</x:v>
      </x:c>
      <x:c r="G6" s="26" t="str">
        <x:v>Synthetic-only live preflight, limits, non-regression, and rollback; block R1 on failure.</x:v>
      </x:c>
      <x:c r="H6" s="26" t="str">
        <x:v>Open</x:v>
      </x:c>
    </x:row>
    <x:row r="7" ht="62" customHeight="1">
      <x:c r="A7" s="26" t="str">
        <x:v>RAID-002</x:v>
      </x:c>
      <x:c r="B7" s="26" t="str">
        <x:v>Assumption</x:v>
      </x:c>
      <x:c r="C7" s="26" t="str">
        <x:v>R0</x:v>
      </x:c>
      <x:c r="D7" s="26" t="str">
        <x:v>SQLCipher/SQLite works with FTS5, WAL concurrency, backup, migration, and crash recovery in the target runtime.</x:v>
      </x:c>
      <x:c r="E7" s="26" t="str">
        <x:v>Technical Architect</x:v>
      </x:c>
      <x:c r="F7" s="26" t="str">
        <x:v>R0</x:v>
      </x:c>
      <x:c r="G7" s="26" t="str">
        <x:v>Execute target proof; select PostgreSQL only if documented gates fail.</x:v>
      </x:c>
      <x:c r="H7" s="26" t="str">
        <x:v>Open</x:v>
      </x:c>
    </x:row>
    <x:row r="8" ht="62" customHeight="1">
      <x:c r="A8" s="26" t="str">
        <x:v>RAID-003</x:v>
      </x:c>
      <x:c r="B8" s="26" t="str">
        <x:v>Dependency</x:v>
      </x:c>
      <x:c r="C8" s="26" t="str">
        <x:v>R0</x:v>
      </x:c>
      <x:c r="D8" s="26" t="str">
        <x:v>Human and callback routing require approved Cloudflare configuration.</x:v>
      </x:c>
      <x:c r="E8" s="26" t="str">
        <x:v>Technical Architect / Owner</x:v>
      </x:c>
      <x:c r="F8" s="26" t="str">
        <x:v>R0 deploy</x:v>
      </x:c>
      <x:c r="G8" s="26" t="str">
        <x:v>Prepare sanitized plan; make provider mutations only in the scoped execution step.</x:v>
      </x:c>
      <x:c r="H8" s="26" t="str">
        <x:v>Open</x:v>
      </x:c>
    </x:row>
    <x:row r="9" ht="62" customHeight="1">
      <x:c r="A9" s="26" t="str">
        <x:v>RAID-004</x:v>
      </x:c>
      <x:c r="B9" s="26" t="str">
        <x:v>Risk</x:v>
      </x:c>
      <x:c r="C9" s="26" t="str">
        <x:v>All</x:v>
      </x:c>
      <x:c r="D9" s="26" t="str">
        <x:v>A successful backup upload is mistaken for recovery evidence.</x:v>
      </x:c>
      <x:c r="E9" s="26" t="str">
        <x:v>Project Manager</x:v>
      </x:c>
      <x:c r="F9" s="26" t="str">
        <x:v>Every release</x:v>
      </x:c>
      <x:c r="G9" s="26" t="str">
        <x:v>Require executed restore for each new shape and full Recovery Ceremony at R9.</x:v>
      </x:c>
      <x:c r="H9" s="26" t="str">
        <x:v>Open</x:v>
      </x:c>
    </x:row>
    <x:row r="10" ht="62" customHeight="1">
      <x:c r="A10" s="26" t="str">
        <x:v>RAID-005</x:v>
      </x:c>
      <x:c r="B10" s="26" t="str">
        <x:v>Dependency</x:v>
      </x:c>
      <x:c r="C10" s="26" t="str">
        <x:v>R5</x:v>
      </x:c>
      <x:c r="D10" s="26" t="str">
        <x:v>VoiceNotes identity, authentication, and reconciliation behavior is partly unknown.</x:v>
      </x:c>
      <x:c r="E10" s="26" t="str">
        <x:v>Product + Architecture</x:v>
      </x:c>
      <x:c r="F10" s="26" t="str">
        <x:v>R5 entry</x:v>
      </x:c>
      <x:c r="G10" s="26" t="str">
        <x:v>Synthetic contract spike; block R5 and reopen decisions on material failure.</x:v>
      </x:c>
      <x:c r="H10" s="26" t="str">
        <x:v>Open</x:v>
      </x:c>
    </x:row>
    <x:row r="11" ht="62" customHeight="1">
      <x:c r="A11" s="26" t="str">
        <x:v>RAID-006</x:v>
      </x:c>
      <x:c r="B11" s="26" t="str">
        <x:v>Risk</x:v>
      </x:c>
      <x:c r="C11" s="26" t="str">
        <x:v>R2/R6/R7</x:v>
      </x:c>
      <x:c r="D11" s="26" t="str">
        <x:v>Real photos or derived photo data reach AI.</x:v>
      </x:c>
      <x:c r="E11" s="26" t="str">
        <x:v>Architecture + QA</x:v>
      </x:c>
      <x:c r="F11" s="26" t="str">
        <x:v>R2, R6, R7</x:v>
      </x:c>
      <x:c r="G11" s="26" t="str">
        <x:v>Typed allowlists, structural no-photo tests, sanitized evidence, release block on leakage.</x:v>
      </x:c>
      <x:c r="H11" s="26" t="str">
        <x:v>Open</x:v>
      </x:c>
    </x:row>
    <x:row r="12" ht="62" customHeight="1">
      <x:c r="A12" s="26" t="str">
        <x:v>RAID-007</x:v>
      </x:c>
      <x:c r="B12" s="26" t="str">
        <x:v>Risk</x:v>
      </x:c>
      <x:c r="C12" s="26" t="str">
        <x:v>All</x:v>
      </x:c>
      <x:c r="D12" s="26" t="str">
        <x:v>Proposed dates become commitments and weaken gates.</x:v>
      </x:c>
      <x:c r="E12" s="26" t="str">
        <x:v>Project Manager</x:v>
      </x:c>
      <x:c r="F12" s="26" t="str">
        <x:v>Weekly</x:v>
      </x:c>
      <x:c r="G12" s="26" t="str">
        <x:v>Move dates before weakening privacy, recovery, accessibility, or evidence gates.</x:v>
      </x:c>
      <x:c r="H12" s="26" t="str">
        <x:v>Open</x:v>
      </x:c>
    </x:row>
    <x:row r="13" ht="62" customHeight="1">
      <x:c r="A13" s="26" t="str">
        <x:v>RAID-008</x:v>
      </x:c>
      <x:c r="B13" s="26" t="str">
        <x:v>Risk</x:v>
      </x:c>
      <x:c r="C13" s="26" t="str">
        <x:v>R2/R8</x:v>
      </x:c>
      <x:c r="D13" s="26" t="str">
        <x:v>Small-host image work exhausts memory or disk.</x:v>
      </x:c>
      <x:c r="E13" s="26" t="str">
        <x:v>Technical Architect</x:v>
      </x:c>
      <x:c r="F13" s="26" t="str">
        <x:v>R2 and R8</x:v>
      </x:c>
      <x:c r="G13" s="26" t="str">
        <x:v>Bounded staging/decoder, one heavy job, watermarks, backpressure, and fault tests.</x:v>
      </x:c>
      <x:c r="H13" s="26" t="str">
        <x:v>Open</x:v>
      </x:c>
    </x:row>
    <x:row r="14" ht="62" customHeight="1">
      <x:c r="A14" s="26" t="str">
        <x:v>RAID-009</x:v>
      </x:c>
      <x:c r="B14" s="26" t="str">
        <x:v>Risk</x:v>
      </x:c>
      <x:c r="C14" s="26" t="str">
        <x:v>R6/R7</x:v>
      </x:c>
      <x:c r="D14" s="26" t="str">
        <x:v>AI output is mistaken for authentic source truth.</x:v>
      </x:c>
      <x:c r="E14" s="26" t="str">
        <x:v>Product + Design + QA</x:v>
      </x:c>
      <x:c r="F14" s="26" t="str">
        <x:v>R6 and R7</x:v>
      </x:c>
      <x:c r="G14" s="26" t="str">
        <x:v>Separate records, persistent labels, provenance, protected fields, and owner acceptance.</x:v>
      </x:c>
      <x:c r="H14" s="26" t="str">
        <x:v>Open</x:v>
      </x:c>
    </x:row>
    <x:row r="15" ht="62" customHeight="1">
      <x:c r="A15" s="26" t="str">
        <x:v>RAID-010</x:v>
      </x:c>
      <x:c r="B15" s="26" t="str">
        <x:v>Risk</x:v>
      </x:c>
      <x:c r="C15" s="26" t="str">
        <x:v>R10</x:v>
      </x:c>
      <x:c r="D15" s="26" t="str">
        <x:v>Object-store transition starts without a measured need or recovery proof.</x:v>
      </x:c>
      <x:c r="E15" s="26" t="str">
        <x:v>Project Manager</x:v>
      </x:c>
      <x:c r="F15" s="26" t="str">
        <x:v>R10</x:v>
      </x:c>
      <x:c r="G15" s="26" t="str">
        <x:v>Keep dates blank; require trigger, inventory, dual-write, restore, observation, and rollback.</x:v>
      </x:c>
      <x:c r="H15" s="26" t="str">
        <x:v>Open</x:v>
      </x:c>
    </x:row>
    <x:row r="16" ht="62" customHeight="1">
      <x:c r="A16" s="26" t="str">
        <x:v>RAID-011</x:v>
      </x:c>
      <x:c r="B16" s="26" t="str">
        <x:v>Risk</x:v>
      </x:c>
      <x:c r="C16" s="26" t="str">
        <x:v>All</x:v>
      </x:c>
      <x:c r="D16" s="26" t="str">
        <x:v>A task starts from shared plans or roadmap status without task-specific Product Council readiness.</x:v>
      </x:c>
      <x:c r="E16" s="26" t="str">
        <x:v>Project Manager</x:v>
      </x:c>
      <x:c r="F16" s="26" t="str">
        <x:v>Every task entry</x:v>
      </x:c>
      <x:c r="G16" s="26" t="str">
        <x:v>Require six P0-prefixed task artifacts, exact hashes/revision, five-seat verdict, and executionAllowed=true.</x:v>
      </x:c>
      <x:c r="H16" s="26" t="str">
        <x:v>Open — all 58 dossiers Incomplete</x:v>
      </x:c>
    </x:row>
    <x:row r="17" ht="62" customHeight="1">
      <x:c r="A17" s="26" t="str">
        <x:v>RAID-012</x:v>
      </x:c>
      <x:c r="B17" s="26" t="str">
        <x:v>Risk</x:v>
      </x:c>
      <x:c r="C17" s="26" t="str">
        <x:v>P0</x:v>
      </x:c>
      <x:c r="D17" s="26" t="str">
        <x:v>Broad Project views or unreadable workflows admit non-delivery items or change status unexpectedly.</x:v>
      </x:c>
      <x:c r="E17" s="26" t="str">
        <x:v>Project Manager</x:v>
      </x:c>
      <x:c r="F17" s="26" t="str">
        <x:v>GitHub synchronization</x:v>
      </x:c>
      <x:c r="G17" s="26" t="str">
        <x:v>Narrow views one at a time to phase1; do not mutate unreadable workflows; verify exact issue/field parity after publication.</x:v>
      </x:c>
      <x:c r="H17" s="26" t="str">
        <x:v>Open — live hardening pending</x:v>
      </x:c>
    </x:row>
    <x:row r="20">
      <x:c r="A20" s="33" t="str">
        <x:v>Milestone entry and exit gates</x:v>
      </x:c>
      <x:c r="B20" s="33" t="str">
        <x:v>Milestone entry and exit gates</x:v>
      </x:c>
      <x:c r="C20" s="33" t="str">
        <x:v>Milestone entry and exit gates</x:v>
      </x:c>
      <x:c r="D20" s="33" t="str">
        <x:v>Milestone entry and exit gates</x:v>
      </x:c>
      <x:c r="E20" s="33" t="str">
        <x:v>Milestone entry and exit gates</x:v>
      </x:c>
      <x:c r="F20" s="33" t="str">
        <x:v>Milestone entry and exit gates</x:v>
      </x:c>
      <x:c r="G20" s="33" t="str">
        <x:v>Milestone entry and exit gates</x:v>
      </x:c>
      <x:c r="H20" s="33" t="str">
        <x:v>Milestone entry and exit gates</x:v>
      </x:c>
    </x:row>
    <x:row r="21" ht="30" customHeight="1">
      <x:c r="A21" s="22" t="str">
        <x:v>Milestone</x:v>
      </x:c>
      <x:c r="B21" s="22" t="str">
        <x:v>Release</x:v>
      </x:c>
      <x:c r="C21" s="22" t="str">
        <x:v>Start</x:v>
      </x:c>
      <x:c r="D21" s="22" t="str">
        <x:v>Target</x:v>
      </x:c>
      <x:c r="E21" s="22" t="str">
        <x:v>Entry dependency</x:v>
      </x:c>
      <x:c r="F21" s="22" t="str">
        <x:v>Exit evidence</x:v>
      </x:c>
      <x:c r="G21" s="22" t="str">
        <x:v>Rollback/restore rule</x:v>
      </x:c>
      <x:c r="H21" s="22" t="str">
        <x:v>Decision state</x:v>
      </x:c>
    </x:row>
    <x:row r="22" ht="72" customHeight="1">
      <x:c r="A22" s="26" t="str">
        <x:v>P0</x:v>
      </x:c>
      <x:c r="B22" s="26" t="str">
        <x:v>Council Planning Baseline</x:v>
      </x:c>
      <x:c r="C22" s="35" t="n">
        <x:v>46248</x:v>
      </x:c>
      <x:c r="D22" s="35" t="n">
        <x:v>46250</x:v>
      </x:c>
      <x:c r="E22" s="26" t="str">
        <x:v>None</x:v>
      </x:c>
      <x:c r="F22" s="26" t="str">
        <x:v>Council reviews, source hashes, requirement coverage, workbook, and GitHub roadmap agree.</x:v>
      </x:c>
      <x:c r="G22" s="26" t="str">
        <x:v>Planning evidence only; no production mutation.</x:v>
      </x:c>
      <x:c r="H22" s="26" t="str">
        <x:v>Hold — control candidate under review</x:v>
      </x:c>
    </x:row>
    <x:row r="23" ht="72" customHeight="1">
      <x:c r="A23" s="26" t="str">
        <x:v>R0</x:v>
      </x:c>
      <x:c r="B23" s="26" t="str">
        <x:v>Shared-Host Private Foundation</x:v>
      </x:c>
      <x:c r="C23" s="35" t="n">
        <x:v>46251</x:v>
      </x:c>
      <x:c r="D23" s="35" t="n">
        <x:v>46262</x:v>
      </x:c>
      <x:c r="E23" s="26" t="str">
        <x:v>P0 accepted</x:v>
      </x:c>
      <x:c r="F23" s="26" t="str">
        <x:v>Owner access/denial, sanitized capacity and non-regression evidence, encrypted synthetic restore, and rollback proof.</x:v>
      </x:c>
      <x:c r="G23" s="26" t="str">
        <x:v>Restore every new persistent shape and prove reversible rollback before acceptance.</x:v>
      </x:c>
      <x:c r="H23" s="26" t="str">
        <x:v>Hold — task dossiers Incomplete</x:v>
      </x:c>
    </x:row>
    <x:row r="24" ht="72" customHeight="1">
      <x:c r="A24" s="26" t="str">
        <x:v>R1</x:v>
      </x:c>
      <x:c r="B24" s="26" t="str">
        <x:v>Manual Journal Archive</x:v>
      </x:c>
      <x:c r="C24" s="35" t="n">
        <x:v>46265</x:v>
      </x:c>
      <x:c r="D24" s="35" t="n">
        <x:v>46283</x:v>
      </x:c>
      <x:c r="E24" s="26" t="str">
        <x:v>R0 accepted</x:v>
      </x:c>
      <x:c r="F24" s="26" t="str">
        <x:v>An owner-approved text fixture survives ingestion, restart, backup, restore, and export/checksum validation.</x:v>
      </x:c>
      <x:c r="G24" s="26" t="str">
        <x:v>Restore every new persistent shape and prove reversible rollback before acceptance.</x:v>
      </x:c>
      <x:c r="H24" s="26" t="str">
        <x:v>Hold — task dossiers Incomplete</x:v>
      </x:c>
    </x:row>
    <x:row r="25" ht="72" customHeight="1">
      <x:c r="A25" s="26" t="str">
        <x:v>R2</x:v>
      </x:c>
      <x:c r="B25" s="26" t="str">
        <x:v>Telegram Photo Capture</x:v>
      </x:c>
      <x:c r="C25" s="35" t="n">
        <x:v>46286</x:v>
      </x:c>
      <x:c r="D25" s="35" t="n">
        <x:v>46304</x:v>
      </x:c>
      <x:c r="E25" s="26" t="str">
        <x:v>R1 accepted</x:v>
      </x:c>
      <x:c r="F25" s="26" t="str">
        <x:v>Authorization, invalid media/date, album, duplicate, cover, Original, privacy, backup, and restore fixtures pass.</x:v>
      </x:c>
      <x:c r="G25" s="26" t="str">
        <x:v>Restore every new persistent shape and prove reversible rollback before acceptance.</x:v>
      </x:c>
      <x:c r="H25" s="26" t="str">
        <x:v>Hold — task dossiers Incomplete</x:v>
      </x:c>
    </x:row>
    <x:row r="26" ht="72" customHeight="1">
      <x:c r="A26" s="26" t="str">
        <x:v>R3</x:v>
      </x:c>
      <x:c r="B26" s="26" t="str">
        <x:v>Retrieval and Date Integrity</x:v>
      </x:c>
      <x:c r="C26" s="35" t="n">
        <x:v>46307</x:v>
      </x:c>
      <x:c r="D26" s="35" t="n">
        <x:v>46325</x:v>
      </x:c>
      <x:c r="E26" s="26" t="str">
        <x:v>R2 accepted</x:v>
      </x:c>
      <x:c r="F26" s="26" t="str">
        <x:v>Known queries work without leakage and a redated item updates both days and restored indexes atomically.</x:v>
      </x:c>
      <x:c r="G26" s="26" t="str">
        <x:v>Restore every new persistent shape and prove reversible rollback before acceptance.</x:v>
      </x:c>
      <x:c r="H26" s="26" t="str">
        <x:v>Hold — task dossiers Incomplete</x:v>
      </x:c>
    </x:row>
    <x:row r="27" ht="72" customHeight="1">
      <x:c r="A27" s="26" t="str">
        <x:v>R4</x:v>
      </x:c>
      <x:c r="B27" s="26" t="str">
        <x:v>Source History and Lifecycle Safety</x:v>
      </x:c>
      <x:c r="C27" s="35" t="n">
        <x:v>46328</x:v>
      </x:c>
      <x:c r="D27" s="35" t="n">
        <x:v>46346</x:v>
      </x:c>
      <x:c r="E27" s="26" t="str">
        <x:v>R3 accepted</x:v>
      </x:c>
      <x:c r="F27" s="26" t="str">
        <x:v>Three conflict outcomes and delete/restore/export/import invariants pass across every existing data shape.</x:v>
      </x:c>
      <x:c r="G27" s="26" t="str">
        <x:v>Restore every new persistent shape and prove reversible rollback before acceptance.</x:v>
      </x:c>
      <x:c r="H27" s="26" t="str">
        <x:v>Hold — task dossiers Incomplete</x:v>
      </x:c>
    </x:row>
    <x:row r="28" ht="72" customHeight="1">
      <x:c r="A28" s="26" t="str">
        <x:v>R5</x:v>
      </x:c>
      <x:c r="B28" s="26" t="str">
        <x:v>Prospective VoiceNotes Sync</x:v>
      </x:c>
      <x:c r="C28" s="35" t="n">
        <x:v>46349</x:v>
      </x:c>
      <x:c r="D28" s="35" t="n">
        <x:v>46367</x:v>
      </x:c>
      <x:c r="E28" s="26" t="str">
        <x:v>R4 accepted and VoiceNotes synthetic contract spike passes</x:v>
      </x:c>
      <x:c r="F28" s="26" t="str">
        <x:v>Synthetic contract, activation, eligibility, dating, replay, suppression, upstream revision, and restore gates pass.</x:v>
      </x:c>
      <x:c r="G28" s="26" t="str">
        <x:v>Restore every new persistent shape and prove reversible rollback before acceptance.</x:v>
      </x:c>
      <x:c r="H28" s="26" t="str">
        <x:v>Hold — task dossiers Incomplete</x:v>
      </x:c>
    </x:row>
    <x:row r="29" ht="72" customHeight="1">
      <x:c r="A29" s="26" t="str">
        <x:v>R6</x:v>
      </x:c>
      <x:c r="B29" s="26" t="str">
        <x:v>Generated Text Reflection</x:v>
      </x:c>
      <x:c r="C29" s="35" t="n">
        <x:v>46370</x:v>
      </x:c>
      <x:c r="D29" s="35" t="n">
        <x:v>46395</x:v>
      </x:c>
      <x:c r="E29" s="26" t="str">
        <x:v>R5 accepted and text-model evaluation passes</x:v>
      </x:c>
      <x:c r="F29" s="26" t="str">
        <x:v>Evaluation, typed privacy allowlist, field protection, source-race, failure, spend, and restore gates pass.</x:v>
      </x:c>
      <x:c r="G29" s="26" t="str">
        <x:v>Restore every new persistent shape and prove reversible rollback before acceptance.</x:v>
      </x:c>
      <x:c r="H29" s="26" t="str">
        <x:v>Hold — task dossiers Incomplete</x:v>
      </x:c>
    </x:row>
    <x:row r="30" ht="72" customHeight="1">
      <x:c r="A30" s="26" t="str">
        <x:v>R7</x:v>
      </x:c>
      <x:c r="B30" s="26" t="str">
        <x:v>Generated Artwork</x:v>
      </x:c>
      <x:c r="C30" s="35" t="n">
        <x:v>46398</x:v>
      </x:c>
      <x:c r="D30" s="35" t="n">
        <x:v>46416</x:v>
      </x:c>
      <x:c r="E30" s="26" t="str">
        <x:v>R6 accepted and artwork-model evaluation passes</x:v>
      </x:c>
      <x:c r="F30" s="26" t="str">
        <x:v>Evaluation, safety, cost, lifecycle, labeling, privacy, cover, and restore gates pass.</x:v>
      </x:c>
      <x:c r="G30" s="26" t="str">
        <x:v>Restore every new persistent shape and prove reversible rollback before acceptance.</x:v>
      </x:c>
      <x:c r="H30" s="26" t="str">
        <x:v>Hold — task dossiers Incomplete</x:v>
      </x:c>
    </x:row>
    <x:row r="31" ht="72" customHeight="1">
      <x:c r="A31" s="26" t="str">
        <x:v>R8</x:v>
      </x:c>
      <x:c r="B31" s="26" t="str">
        <x:v>Operational Scale and Resilience</x:v>
      </x:c>
      <x:c r="C31" s="35" t="n">
        <x:v>46419</x:v>
      </x:c>
      <x:c r="D31" s="35" t="n">
        <x:v>46437</x:v>
      </x:c>
      <x:c r="E31" s="26" t="str">
        <x:v>R0 through R7 accepted</x:v>
      </x:c>
      <x:c r="F31" s="26" t="str">
        <x:v>Watermark, restart, alert, fault, backup/restore, security, browser, and accessibility evidence passes.</x:v>
      </x:c>
      <x:c r="G31" s="26" t="str">
        <x:v>Restore every new persistent shape and prove reversible rollback before acceptance.</x:v>
      </x:c>
      <x:c r="H31" s="26" t="str">
        <x:v>Hold — task dossiers Incomplete</x:v>
      </x:c>
    </x:row>
    <x:row r="32" ht="72" customHeight="1">
      <x:c r="A32" s="26" t="str">
        <x:v>R9</x:v>
      </x:c>
      <x:c r="B32" s="26" t="str">
        <x:v>Private Launch Acceptance and Stabilization</x:v>
      </x:c>
      <x:c r="C32" s="35" t="n">
        <x:v>46440</x:v>
      </x:c>
      <x:c r="D32" s="35" t="n">
        <x:v>46458</x:v>
      </x:c>
      <x:c r="E32" s="26" t="str">
        <x:v>R8 accepted and explicit launch authority</x:v>
      </x:c>
      <x:c r="F32" s="26" t="str">
        <x:v>Owner UAT, Recovery Ceremony, observation window, severity gate, and go/no-go or rollback record pass.</x:v>
      </x:c>
      <x:c r="G32" s="26" t="str">
        <x:v>Restore every new persistent shape and prove reversible rollback before acceptance.</x:v>
      </x:c>
      <x:c r="H32" s="26" t="str">
        <x:v>Hold — task dossiers Incomplete</x:v>
      </x:c>
    </x:row>
    <x:row r="33" ht="72" customHeight="1">
      <x:c r="A33" s="26" t="str">
        <x:v>R10</x:v>
      </x:c>
      <x:c r="B33" s="26" t="str">
        <x:v>Conditional Object-store Transition</x:v>
      </x:c>
      <x:c r="C33" s="35"/>
      <x:c r="D33" s="35"/>
      <x:c r="E33" s="26" t="str">
        <x:v>Measured storage trigger; no calendar commitment</x:v>
      </x:c>
      <x:c r="F33" s="26" t="str">
        <x:v>Trigger, inventory, dual-write, reconciliation, restore, observed reads, cutover, and rollback gates pass.</x:v>
      </x:c>
      <x:c r="G33" s="26" t="str">
        <x:v>Restore every new persistent shape and prove reversible rollback before acceptance.</x:v>
      </x:c>
      <x:c r="H33" s="26" t="str">
        <x:v>Trigger not approved; dates blank</x:v>
      </x:c>
    </x:row>
  </x:sheetData>
  <x:mergeCells>
    <x:mergeCell ref="A1:H2"/>
    <x:mergeCell ref="A3:H3"/>
    <x:mergeCell ref="A20:H20"/>
  </x:mergeCells>
  <x:conditionalFormatting sqref="B6:B17">
    <x:cfRule type="containsText" dxfId="25" priority="1" operator="containsText" text="Risk"/>
    <x:cfRule type="containsText" dxfId="26" priority="2" operator="containsText" text="Assumption"/>
    <x:cfRule type="containsText" dxfId="27" priority="3" operator="containsText" text="Dependency"/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2" hidden="0" customWidth="1"/>
    <x:col min="3" max="3" width="58" hidden="0" customWidth="1"/>
  </x:cols>
  <x:sheetData>
    <x:row r="1" ht="28" customHeight="1">
      <x:c r="A1" s="5" t="str">
        <x:v>Workbook Review Guide and Evidence Boundary</x:v>
      </x:c>
      <x:c r="B1" s="5" t="str">
        <x:v>Workbook Review Guide and Evidence Boundary</x:v>
      </x:c>
      <x:c r="C1" s="5" t="str">
        <x:v>Workbook Review Guide and Evidence Boundary</x:v>
      </x:c>
    </x:row>
    <x:row r="2" ht="28" customHeight="1">
      <x:c r="A2" s="5" t="str">
        <x:v>Workbook Review Guide and Evidence Boundary</x:v>
      </x:c>
      <x:c r="B2" s="5" t="str">
        <x:v>Workbook Review Guide and Evidence Boundary</x:v>
      </x:c>
      <x:c r="C2" s="5" t="str">
        <x:v>Workbook Review Guide and Evidence Boundary</x:v>
      </x:c>
    </x:row>
    <x:row r="3" ht="34" customHeight="1">
      <x:c r="A3" s="14" t="str">
        <x:v>Use this workbook to review the plan; use the JSON manifest as the edit source. Reconcile any approved change to Markdown, GitHub issues, and the live Project.</x:v>
      </x:c>
      <x:c r="B3" s="15" t="str">
        <x:v>Use this workbook to review the plan; use the JSON manifest as the edit source. Reconcile any approved change to Markdown, GitHub issues, and the live Project.</x:v>
      </x:c>
      <x:c r="C3" s="16" t="str">
        <x:v>Use this workbook to review the plan; use the JSON manifest as the edit source. Reconcile any approved change to Markdown, GitHub issues, and the live Project.</x:v>
      </x:c>
    </x:row>
    <x:row r="5" ht="30" customHeight="1">
      <x:c r="A5" s="22" t="str">
        <x:v>Topic</x:v>
      </x:c>
      <x:c r="B5" s="22" t="str">
        <x:v>Decision / instruction</x:v>
      </x:c>
      <x:c r="C5" s="22" t="str">
        <x:v>Reviewer note</x:v>
      </x:c>
    </x:row>
    <x:row r="6" ht="58" customHeight="1">
      <x:c r="A6" s="41" t="str">
        <x:v>Purpose</x:v>
      </x:c>
      <x:c r="B6" s="26" t="str">
        <x:v>Detailed reviewable Phase 1 release plan for a single-user private archive.</x:v>
      </x:c>
      <x:c r="C6" s="26" t="str">
        <x:v>Owner: Project Manager</x:v>
      </x:c>
    </x:row>
    <x:row r="7" ht="58" customHeight="1">
      <x:c r="A7" s="41" t="str">
        <x:v>Source manifest SHA-256</x:v>
      </x:c>
      <x:c r="B7" s="26" t="str">
        <x:v>sha256:e312399a16a72a8030e5735413270af989c0295c50b73ce0a9ecf4e02406c166</x:v>
      </x:c>
      <x:c r="C7" s="26" t="str">
        <x:v>docs/project/PHASE1-ROADMAP-MANIFEST.json — do not use a workbook-only edit as a planning decision.</x:v>
      </x:c>
    </x:row>
    <x:row r="8" ht="58" customHeight="1">
      <x:c r="A8" s="41" t="str">
        <x:v>Governing product</x:v>
      </x:c>
      <x:c r="B8" s="26" t="str">
        <x:v>docs/product/PRODUCT-REQUIREMENTS.md</x:v>
      </x:c>
      <x:c r="C8" s="26" t="str">
        <x:v>78 stable requirement IDs.</x:v>
      </x:c>
    </x:row>
    <x:row r="9" ht="58" customHeight="1">
      <x:c r="A9" s="41" t="str">
        <x:v>Governing design</x:v>
      </x:c>
      <x:c r="B9" s="26" t="str">
        <x:v>docs/design/UX-SPECIFICATION.md</x:v>
      </x:c>
      <x:c r="C9" s="26" t="str">
        <x:v>Prototype v5 is interaction intent only.</x:v>
      </x:c>
    </x:row>
    <x:row r="10" ht="58" customHeight="1">
      <x:c r="A10" s="41" t="str">
        <x:v>Implementation plan</x:v>
      </x:c>
      <x:c r="B10" s="26" t="str">
        <x:v>docs/architecture/PHASE1-IMPLEMENTATION-PLAN.md</x:v>
      </x:c>
      <x:c r="C10" s="26" t="str">
        <x:v>Detailed technical sequence, architecture, security, recovery, and task contracts.</x:v>
      </x:c>
    </x:row>
    <x:row r="11" ht="58" customHeight="1">
      <x:c r="A11" s="41" t="str">
        <x:v>Task Definition of Ready</x:v>
      </x:c>
      <x:c r="B11" s="26" t="str">
        <x:v>docs/council/execution/P0-PHASE1-TASK-DEFINITION-OF-READY.md</x:v>
      </x:c>
      <x:c r="C11" s="26" t="str">
        <x:v>Every substantive task requires Product, Architecture, Design, QA, Delivery, and Council approval.</x:v>
      </x:c>
    </x:row>
    <x:row r="12" ht="58" customHeight="1">
      <x:c r="A12" s="41" t="str">
        <x:v>Task artifact register</x:v>
      </x:c>
      <x:c r="B12" s="26" t="str">
        <x:v>docs/project/P0-PHASE1-TASK-ARTIFACT-REGISTER.json</x:v>
      </x:c>
      <x:c r="C12" s="26" t="str">
        <x:v>Paths, states, SHA-256, scenario IDs, owner actions, execution scope, and council decision.</x:v>
      </x:c>
    </x:row>
    <x:row r="13" ht="58" customHeight="1">
      <x:c r="A13" s="41" t="str">
        <x:v>Current task readiness</x:v>
      </x:c>
      <x:c r="B13" s="26" t="str">
        <x:v>58 Incomplete; 45 Hold + 13 Historical non-authorizing; 0 Ready; 0 execution-allowed</x:v>
      </x:c>
      <x:c r="C13" s="26" t="str">
        <x:v>Artifact generation is not specialist approval; roadmap status is not a start override.</x:v>
      </x:c>
    </x:row>
    <x:row r="14" ht="58" customHeight="1">
      <x:c r="A14" s="41" t="str">
        <x:v>GitHub projection</x:v>
      </x:c>
      <x:c r="B14" s="26" t="str">
        <x:v>58 existing issues; 17 managed Project fields; six dossier links per task</x:v>
      </x:c>
      <x:c r="C14" s="26" t="str">
        <x:v>Publish only from merged remote main, then verify read-only by stable task ID.</x:v>
      </x:c>
    </x:row>
    <x:row r="15" ht="58" customHeight="1">
      <x:c r="A15" s="41" t="str">
        <x:v>Deployment spike</x:v>
      </x:c>
      <x:c r="B15" s="26" t="str">
        <x:v>docs/research/HETZNER-SHARED-HOST-DEPLOYMENT-SPIKE.md</x:v>
      </x:c>
      <x:c r="C15" s="26" t="str">
        <x:v>Live host capacity/readiness remains unverified until sanitized evidence exists.</x:v>
      </x:c>
    </x:row>
    <x:row r="16" ht="58" customHeight="1">
      <x:c r="A16" s="41" t="str">
        <x:v>Roadmap</x:v>
      </x:c>
      <x:c r="B16" s="26" t="str">
        <x:v>https://github.com/users/arunpr614/projects/1</x:v>
      </x:c>
      <x:c r="C16" s="26" t="str">
        <x:v>Four lanes: Backlog, Next, In progress, Done.</x:v>
      </x:c>
    </x:row>
    <x:row r="17" ht="58" customHeight="1">
      <x:c r="A17" s="41" t="str">
        <x:v>Date semantics</x:v>
      </x:c>
      <x:c r="B17" s="26" t="str">
        <x:v>Start/Target are proposed estimates in Asia/Kolkata.</x:v>
      </x:c>
      <x:c r="C17" s="26" t="str">
        <x:v>Evidence gates move dates; dates never weaken gates.</x:v>
      </x:c>
    </x:row>
    <x:row r="18" ht="58" customHeight="1">
      <x:c r="A18" s="41" t="str">
        <x:v>R0</x:v>
      </x:c>
      <x:c r="B18" s="26" t="str">
        <x:v>Synthetic fixtures only.</x:v>
      </x:c>
      <x:c r="C18" s="26" t="str">
        <x:v>No authentic memory may enter before R0 restore/rollback/privacy proof.</x:v>
      </x:c>
    </x:row>
    <x:row r="19" ht="58" customHeight="1">
      <x:c r="A19" s="41" t="str">
        <x:v>R1</x:v>
      </x:c>
      <x:c r="B19" s="26" t="str">
        <x:v>First authentic-memory release.</x:v>
      </x:c>
      <x:c r="C19" s="26" t="str">
        <x:v>Use only an owner-approved fixture after R0 acceptance.</x:v>
      </x:c>
    </x:row>
    <x:row r="20" ht="58" customHeight="1">
      <x:c r="A20" s="41" t="str">
        <x:v>R10</x:v>
      </x:c>
      <x:c r="B20" s="26" t="str">
        <x:v>Start/Target intentionally blank.</x:v>
      </x:c>
      <x:c r="C20" s="26" t="str">
        <x:v>Populate only after measured watermark trigger approval.</x:v>
      </x:c>
    </x:row>
    <x:row r="21" ht="58" customHeight="1">
      <x:c r="A21" s="41" t="str">
        <x:v>Done — planning</x:v>
      </x:c>
      <x:c r="B21" s="26" t="str">
        <x:v>Named planning artifact exists and validates.</x:v>
      </x:c>
      <x:c r="C21" s="26" t="str">
        <x:v>Does not imply implementation, testing, deployment, production, or release acceptance.</x:v>
      </x:c>
    </x:row>
    <x:row r="22" ht="58" customHeight="1">
      <x:c r="A22" s="41" t="str">
        <x:v>Done — delivery</x:v>
      </x:c>
      <x:c r="B22" s="26" t="str">
        <x:v>Behavior works in the named environment with linked tests, migration, restore, rollback, and approvals.</x:v>
      </x:c>
      <x:c r="C22" s="26" t="str">
        <x:v>Code, CI, deploy, or backup upload alone is insufficient.</x:v>
      </x:c>
    </x:row>
    <x:row r="23" ht="58" customHeight="1">
      <x:c r="A23" s="41" t="str">
        <x:v>Privacy</x:v>
      </x:c>
      <x:c r="B23" s="26" t="str">
        <x:v>No personal content, prompts, tokens, credentials, private account IDs, or unsanitized infrastructure evidence in public artifacts.</x:v>
      </x:c>
      <x:c r="C23" s="26" t="str">
        <x:v>Real-photo data is structurally excluded from all AI requests.</x:v>
      </x:c>
    </x:row>
    <x:row r="24" ht="58" customHeight="1">
      <x:c r="A24" s="41" t="str">
        <x:v>Recovery</x:v>
      </x:c>
      <x:c r="B24" s="26" t="str">
        <x:v>Every release restores each new persistent data shape.</x:v>
      </x:c>
      <x:c r="C24" s="26" t="str">
        <x:v>Backup success is not restore evidence.</x:v>
      </x:c>
    </x:row>
    <x:row r="25" ht="58" customHeight="1">
      <x:c r="A25" s="41" t="str">
        <x:v>Workbook sheets</x:v>
      </x:c>
      <x:c r="B25" s="26" t="str">
        <x:v>Executive Summary; Release Plan; Roadmap Tasks; Roadmap Timeline; Requirement Map; Risks &amp; Gates; Review Guide.</x:v>
      </x:c>
      <x:c r="C25" s="26" t="str">
        <x:v>Filters, validations, formulas, conditional formatting, and charts support review.</x:v>
      </x:c>
    </x:row>
  </x:sheetData>
  <x:mergeCells>
    <x:mergeCell ref="A1:C2"/>
    <x:mergeCell ref="A3:C3"/>
  </x:mergeCells>
  <x:pageMargins left="0.7" right="0.7" top="0.75" bottom="0.75" header="0.3" footer="0.3"/>
</x:worksheet>
</file>