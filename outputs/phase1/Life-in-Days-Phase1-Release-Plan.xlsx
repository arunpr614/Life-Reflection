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0d0143da2341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31bbdff657754787"/>
    <x:sheet xmlns:r="http://schemas.openxmlformats.org/officeDocument/2006/relationships" name="Release Plan" sheetId="2" r:id="R3928b6064d444bcc"/>
    <x:sheet xmlns:r="http://schemas.openxmlformats.org/officeDocument/2006/relationships" name="Roadmap Tasks" sheetId="3" r:id="Rda582579a0aa414d"/>
    <x:sheet xmlns:r="http://schemas.openxmlformats.org/officeDocument/2006/relationships" name="Roadmap Timeline" sheetId="4" r:id="R4e9ef6b089854bb2"/>
    <x:sheet xmlns:r="http://schemas.openxmlformats.org/officeDocument/2006/relationships" name="Requirement Map" sheetId="5" r:id="R539bc79313914248"/>
    <x:sheet xmlns:r="http://schemas.openxmlformats.org/officeDocument/2006/relationships" name="Risks &amp; Gates" sheetId="6" r:id="R4fa195314ff34d08"/>
    <x:sheet xmlns:r="http://schemas.openxmlformats.org/officeDocument/2006/relationships" name="Review Guide" sheetId="7" r:id="Ra542773d9d2246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yyyy-mm-dd"/>
    <x:numFmt numFmtId="202" formatCode="dd-mmm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0"/>
      <x:color rgb="FF0F172A"/>
      <x:name val="Carlito"/>
    </x:font>
    <x:font>
      <x:b/>
      <x:sz val="10"/>
      <x:color rgb="FFFFFFFF"/>
      <x:name val="Carlito"/>
    </x:font>
    <x:font>
      <x:sz val="9"/>
      <x:color rgb="FF0F172A"/>
      <x:name val="Carlito"/>
    </x:font>
    <x:font>
      <x:b/>
      <x:sz val="12"/>
      <x:color rgb="FFFFFFFF"/>
      <x:name val="Carlito"/>
    </x:font>
    <x:font>
      <x:b/>
      <x:sz val="9"/>
      <x:color rgb="FF0F766E"/>
      <x:name val="Carlito"/>
    </x:font>
    <x:font>
      <x:b/>
      <x:sz val="9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CCFBF1"/>
      </x:patternFill>
    </x:fill>
    <x:fill>
      <x:patternFill patternType="solid">
        <x:fgColor rgb="FF0F766E"/>
      </x:patternFill>
    </x:fill>
    <x:fill>
      <x:patternFill patternType="solid">
        <x:fgColor rgb="FF334155"/>
      </x:patternFill>
    </x:fill>
  </x:fills>
  <x:borders count="6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horizontal="left" wrapText="1"/>
    </x:xf>
    <x:xf numFmtId="0" fontId="3" fillId="4" borderId="4" xfId="0" applyNumberFormat="1" applyFont="1" applyFill="1" applyBorder="1" applyAlignment="1">
      <x:alignment horizontal="left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201" fontId="4" fillId="0" borderId="4" xfId="0" applyNumberFormat="1" applyFont="1" applyFill="1" applyBorder="1" applyAlignment="1">
      <x:alignment vertical="top" wrapText="1"/>
    </x:xf>
    <x:xf numFmtId="201" fontId="4" fillId="0" borderId="4" xfId="0" applyNumberFormat="1" applyFont="1" applyFill="1" applyBorder="1" applyAlignment="1">
      <x:alignment horizontal="center" vertical="top" wrapText="1"/>
    </x:xf>
    <x:xf numFmtId="0" fontId="6" fillId="0" borderId="4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/>
    </x:xf>
    <x:xf numFmtId="0" fontId="5" fillId="5" borderId="0" xfId="0" applyNumberFormat="1" applyFont="1" applyFill="1" applyBorder="1" applyAlignment="1">
      <x:alignment vertical="top"/>
    </x:xf>
    <x:xf numFmtId="0" fontId="4" fillId="3" borderId="4" xfId="0" applyNumberFormat="1" applyFont="1" applyFill="1" applyBorder="1" applyAlignment="1">
      <x:alignment vertical="top" wrapText="1"/>
    </x:xf>
    <x:xf numFmtId="0" fontId="6" fillId="3" borderId="4" xfId="0" applyNumberFormat="1" applyFont="1" applyFill="1" applyBorder="1" applyAlignment="1">
      <x:alignment vertical="top" wrapText="1"/>
    </x:xf>
    <x:xf numFmtId="202" fontId="3" fillId="4" borderId="4" xfId="0" applyNumberFormat="1" applyFont="1" applyFill="1" applyBorder="1" applyAlignment="1">
      <x:alignment horizontal="left" vertical="center" wrapText="1"/>
    </x:xf>
    <x:xf numFmtId="0" fontId="7" fillId="0" borderId="0" xfId="0" applyNumberFormat="1" applyFont="1" applyFill="1" applyBorder="1"/>
    <x:xf numFmtId="0" fontId="7" fillId="0" borderId="5" xfId="0" applyNumberFormat="1" applyFont="1" applyFill="1" applyBorder="1"/>
    <x:xf numFmtId="0" fontId="7" fillId="0" borderId="5" xfId="0" applyNumberFormat="1" applyFont="1" applyFill="1" applyBorder="1" applyAlignment="1">
      <x:alignment horizontal="center"/>
    </x:xf>
    <x:xf numFmtId="0" fontId="7" fillId="0" borderId="5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0">
    <x:dxf>
      <x:font>
        <x:color rgb="FF334155"/>
      </x:font>
      <x:fill>
        <x:patternFill patternType="solid">
          <x:bgColor rgb="FFF8FAFC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color rgb="FF334155"/>
      </x:font>
      <x:fill>
        <x:patternFill patternType="solid">
          <x:bgColor rgb="FFF8FAFC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color rgb="FF94A3B8"/>
      </x:font>
      <x:fill>
        <x:patternFill patternType="solid">
          <x:bgColor rgb="FF94A3B8"/>
        </x:patternFill>
      </x:fill>
    </x:dxf>
    <x:dxf>
      <x:font>
        <x:color rgb="FF2563EB"/>
      </x:font>
      <x:fill>
        <x:patternFill patternType="solid">
          <x:bgColor rgb="FF2563EB"/>
        </x:patternFill>
      </x:fill>
    </x:dxf>
    <x:dxf>
      <x:font>
        <x:color rgb="FFF59E0B"/>
      </x:font>
      <x:fill>
        <x:patternFill patternType="solid">
          <x:bgColor rgb="FFF59E0B"/>
        </x:patternFill>
      </x:fill>
    </x:dxf>
    <x:dxf>
      <x:font>
        <x:color rgb="FF22C55E"/>
      </x:font>
      <x:fill>
        <x:patternFill patternType="solid">
          <x:bgColor rgb="FF22C55E"/>
        </x:patternFill>
      </x:fill>
    </x:dxf>
    <x:dxf>
      <x:font>
        <x:color rgb="FF334155"/>
      </x:font>
      <x:fill>
        <x:patternFill patternType="solid">
          <x:bgColor rgb="FFF8FAFC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7C3AED"/>
      </x:font>
      <x:fill>
        <x:patternFill patternType="solid">
          <x:bgColor rgb="FFEDE9FE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ab1c49203c45ea" /><Relationship Type="http://schemas.openxmlformats.org/officeDocument/2006/relationships/theme" Target="/xl/theme/theme1.xml" Id="Rcfe7e59f07dc40c7" /><Relationship Type="http://schemas.openxmlformats.org/officeDocument/2006/relationships/sharedStrings" Target="/xl/sharedStrings.xml" Id="R3ab387f2a51443e9" /><Relationship Type="http://schemas.openxmlformats.org/officeDocument/2006/relationships/worksheet" Target="/xl/worksheets/sheet1.xml" Id="R31bbdff657754787" /><Relationship Type="http://schemas.openxmlformats.org/officeDocument/2006/relationships/worksheet" Target="/xl/worksheets/sheet2.xml" Id="R3928b6064d444bcc" /><Relationship Type="http://schemas.openxmlformats.org/officeDocument/2006/relationships/worksheet" Target="/xl/worksheets/sheet3.xml" Id="Rda582579a0aa414d" /><Relationship Type="http://schemas.openxmlformats.org/officeDocument/2006/relationships/worksheet" Target="/xl/worksheets/sheet4.xml" Id="R4e9ef6b089854bb2" /><Relationship Type="http://schemas.openxmlformats.org/officeDocument/2006/relationships/worksheet" Target="/xl/worksheets/sheet5.xml" Id="R539bc79313914248" /><Relationship Type="http://schemas.openxmlformats.org/officeDocument/2006/relationships/worksheet" Target="/xl/worksheets/sheet6.xml" Id="R4fa195314ff34d08" /><Relationship Type="http://schemas.openxmlformats.org/officeDocument/2006/relationships/worksheet" Target="/xl/worksheets/sheet7.xml" Id="Ra542773d9d2246c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cab5b21cd874a6f" /><Relationship Type="http://schemas.openxmlformats.org/officeDocument/2006/relationships/chart" Target="/xl/drawings/charts/chart2.xml" Id="R00eafe76a70a4b8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Tasks by status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Tasks</c:v>
          </c:tx>
          <c:cat>
            <c:strRef>
              <c:f>'Executive Summary'!$K$6:$K$9</c:f>
              <c:strCache>
                <c:ptCount val="0"/>
              </c:strCache>
            </c:strRef>
          </c:cat>
          <c:val>
            <c:numRef>
              <c:f>'Executive Summary'!$L$6:$L$9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Tasks by milestone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Tasks</c:v>
          </c:tx>
          <c:cat>
            <c:strRef>
              <c:f>'Executive Summary'!$K$13:$K$24</c:f>
              <c:strCache>
                <c:ptCount val="0"/>
              </c:strCache>
            </c:strRef>
          </c:cat>
          <c:val>
            <c:numRef>
              <c:f>'Executive Summary'!$L$13:$L$24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13</xdr:col>
      <xdr:colOff>0</xdr:colOff>
      <xdr:row>4</xdr:row>
      <xdr:rowOff>0</xdr:rowOff>
    </xdr:from>
    <xdr:to>
      <xdr:col>21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ab5b21cd874a6f"/>
        </a:graphicData>
      </a:graphic>
    </xdr:graphicFrame>
    <xdr:clientData/>
  </xdr:twoCellAnchor>
  <xdr:twoCellAnchor>
    <xdr:from>
      <xdr:col>13</xdr:col>
      <xdr:colOff>0</xdr:colOff>
      <xdr:row>15</xdr:row>
      <xdr:rowOff>0</xdr:rowOff>
    </xdr:from>
    <xdr:to>
      <xdr:col>21</xdr:col>
      <xdr:colOff>0</xdr:colOff>
      <xdr:row>30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eafe76a70a4b8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leasePlanTable" displayName="ReleasePlanTable" ref="A5:I17" headerRowCount="1" totalsRowCount="0" totalsRowShown="0">
  <x:tableColumns count="9">
    <x:tableColumn id="1" name="Milestone"/>
    <x:tableColumn id="2" name="Release"/>
    <x:tableColumn id="3" name="Start"/>
    <x:tableColumn id="4" name="Target"/>
    <x:tableColumn id="5" name="Days"/>
    <x:tableColumn id="6" name="Meaningful outcome"/>
    <x:tableColumn id="7" name="Exit evidence"/>
    <x:tableColumn id="8" name="Entry dependency"/>
    <x:tableColumn id="9" name="Date basi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sksTable" displayName="RoadmapTasksTable" ref="A5:T63" headerRowCount="1" totalsRowCount="0" totalsRowShown="0">
  <x:tableColumns count="20">
    <x:tableColumn id="1" name="ID"/>
    <x:tableColumn id="2" name="Title"/>
    <x:tableColumn id="3" name="Status"/>
    <x:tableColumn id="4" name="Milestone"/>
    <x:tableColumn id="5" name="Type"/>
    <x:tableColumn id="6" name="Owner role"/>
    <x:tableColumn id="7" name="Priority"/>
    <x:tableColumn id="8" name="Start"/>
    <x:tableColumn id="9" name="Target"/>
    <x:tableColumn id="10" name="Days"/>
    <x:tableColumn id="11" name="Requirement IDs"/>
    <x:tableColumn id="12" name="Dependencies"/>
    <x:tableColumn id="13" name="PRD / PID link"/>
    <x:tableColumn id="14" name="Design artifact link"/>
    <x:tableColumn id="15" name="Architecture link"/>
    <x:tableColumn id="16" name="Description"/>
    <x:tableColumn id="17" name="Acceptance evidence"/>
    <x:tableColumn id="18" name="Rollback / restore impact"/>
    <x:tableColumn id="19" name="Done meaning"/>
    <x:tableColumn id="20" name="GitHub issu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quirementMapTable" displayName="RequirementMapTable" ref="A5:F83" headerRowCount="1" totalsRowCount="0" totalsRowShown="0">
  <x:tableColumns count="6">
    <x:tableColumn id="1" name="Requirement ID"/>
    <x:tableColumn id="2" name="Primary milestone"/>
    <x:tableColumn id="3" name="Roadmap task IDs"/>
    <x:tableColumn id="4" name="Disposition"/>
    <x:tableColumn id="5" name="Rationale"/>
    <x:tableColumn id="6" name="Task cou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48a1729758a424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e792898ad7840a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f4886df66604b3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4835ba129d2488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3" hidden="0" customWidth="1"/>
    <x:col min="4" max="4" width="13" hidden="0" customWidth="1"/>
    <x:col min="5" max="5" width="42" hidden="0" customWidth="1"/>
    <x:col min="6" max="6" width="34" hidden="0" customWidth="1"/>
    <x:col min="7" max="7" width="10" hidden="0" customWidth="1"/>
    <x:col min="8" max="8" width="24" hidden="0" customWidth="1"/>
    <x:col min="11" max="11" width="18" hidden="0" customWidth="1"/>
    <x:col min="12" max="12" width="10" hidden="0" customWidth="1"/>
  </x:cols>
  <x:sheetData>
    <x:row r="1" ht="28" customHeight="1">
      <x:c r="A1" s="5" t="str">
        <x:v>Life in Days — Phase 1 Release Plan</x:v>
      </x:c>
      <x:c r="B1" s="5" t="str">
        <x:v>Life in Days — Phase 1 Release Plan</x:v>
      </x:c>
      <x:c r="C1" s="5" t="str">
        <x:v>Life in Days — Phase 1 Release Plan</x:v>
      </x:c>
      <x:c r="D1" s="5" t="str">
        <x:v>Life in Days — Phase 1 Release Plan</x:v>
      </x:c>
      <x:c r="E1" s="5" t="str">
        <x:v>Life in Days — Phase 1 Release Plan</x:v>
      </x:c>
      <x:c r="F1" s="5" t="str">
        <x:v>Life in Days — Phase 1 Release Plan</x:v>
      </x:c>
      <x:c r="G1" s="5" t="str">
        <x:v>Life in Days — Phase 1 Release Plan</x:v>
      </x:c>
      <x:c r="H1" s="5" t="str">
        <x:v>Life in Days — Phase 1 Release Plan</x:v>
      </x:c>
      <x:c r="I1" s="5" t="str">
        <x:v>Life in Days — Phase 1 Release Plan</x:v>
      </x:c>
      <x:c r="J1" s="5" t="str">
        <x:v>Life in Days — Phase 1 Release Plan</x:v>
      </x:c>
      <x:c r="K1" s="5" t="str">
        <x:v>Life in Days — Phase 1 Release Plan</x:v>
      </x:c>
      <x:c r="L1" s="5" t="str">
        <x:v>Life in Days — Phase 1 Release Plan</x:v>
      </x:c>
      <x:c r="M1" s="5" t="str">
        <x:v>Life in Days — Phase 1 Release Plan</x:v>
      </x:c>
      <x:c r="N1" s="5" t="str">
        <x:v>Life in Days — Phase 1 Release Plan</x:v>
      </x:c>
      <x:c r="O1" s="5" t="str">
        <x:v>Life in Days — Phase 1 Release Plan</x:v>
      </x:c>
      <x:c r="P1" s="5" t="str">
        <x:v>Life in Days — Phase 1 Release Plan</x:v>
      </x:c>
      <x:c r="Q1" s="5" t="str">
        <x:v>Life in Days — Phase 1 Release Plan</x:v>
      </x:c>
      <x:c r="R1" s="5" t="str">
        <x:v>Life in Days — Phase 1 Release Plan</x:v>
      </x:c>
      <x:c r="S1" s="5" t="str">
        <x:v>Life in Days — Phase 1 Release Plan</x:v>
      </x:c>
      <x:c r="T1" s="5" t="str">
        <x:v>Life in Days — Phase 1 Release Plan</x:v>
      </x:c>
      <x:c r="U1" s="5" t="str">
        <x:v>Life in Days — Phase 1 Release Plan</x:v>
      </x:c>
    </x:row>
    <x:row r="2" ht="28" customHeight="1">
      <x:c r="A2" s="5" t="str">
        <x:v>Life in Days — Phase 1 Release Plan</x:v>
      </x:c>
      <x:c r="B2" s="5" t="str">
        <x:v>Life in Days — Phase 1 Release Plan</x:v>
      </x:c>
      <x:c r="C2" s="5" t="str">
        <x:v>Life in Days — Phase 1 Release Plan</x:v>
      </x:c>
      <x:c r="D2" s="5" t="str">
        <x:v>Life in Days — Phase 1 Release Plan</x:v>
      </x:c>
      <x:c r="E2" s="5" t="str">
        <x:v>Life in Days — Phase 1 Release Plan</x:v>
      </x:c>
      <x:c r="F2" s="5" t="str">
        <x:v>Life in Days — Phase 1 Release Plan</x:v>
      </x:c>
      <x:c r="G2" s="5" t="str">
        <x:v>Life in Days — Phase 1 Release Plan</x:v>
      </x:c>
      <x:c r="H2" s="5" t="str">
        <x:v>Life in Days — Phase 1 Release Plan</x:v>
      </x:c>
      <x:c r="I2" s="5" t="str">
        <x:v>Life in Days — Phase 1 Release Plan</x:v>
      </x:c>
      <x:c r="J2" s="5" t="str">
        <x:v>Life in Days — Phase 1 Release Plan</x:v>
      </x:c>
      <x:c r="K2" s="5" t="str">
        <x:v>Life in Days — Phase 1 Release Plan</x:v>
      </x:c>
      <x:c r="L2" s="5" t="str">
        <x:v>Life in Days — Phase 1 Release Plan</x:v>
      </x:c>
      <x:c r="M2" s="5" t="str">
        <x:v>Life in Days — Phase 1 Release Plan</x:v>
      </x:c>
      <x:c r="N2" s="5" t="str">
        <x:v>Life in Days — Phase 1 Release Plan</x:v>
      </x:c>
      <x:c r="O2" s="5" t="str">
        <x:v>Life in Days — Phase 1 Release Plan</x:v>
      </x:c>
      <x:c r="P2" s="5" t="str">
        <x:v>Life in Days — Phase 1 Release Plan</x:v>
      </x:c>
      <x:c r="Q2" s="5" t="str">
        <x:v>Life in Days — Phase 1 Release Plan</x:v>
      </x:c>
      <x:c r="R2" s="5" t="str">
        <x:v>Life in Days — Phase 1 Release Plan</x:v>
      </x:c>
      <x:c r="S2" s="5" t="str">
        <x:v>Life in Days — Phase 1 Release Plan</x:v>
      </x:c>
      <x:c r="T2" s="5" t="str">
        <x:v>Life in Days — Phase 1 Release Plan</x:v>
      </x:c>
      <x:c r="U2" s="5" t="str">
        <x:v>Life in Days — Phase 1 Release Plan</x:v>
      </x:c>
    </x:row>
    <x:row r="3" ht="34" customHeight="1">
      <x:c r="A3" s="14" t="str">
        <x:v>Review workbook generated from PHASE1-ROADMAP-MANIFEST.json on 2026-08-14. Dates are proposed planning estimates; evidence gates control delivery. R0 is synthetic-only and R10 is trigger-only.</x:v>
      </x:c>
      <x:c r="B3" s="15" t="str">
        <x:v>Review workbook generated from PHASE1-ROADMAP-MANIFEST.json on 2026-08-14. Dates are proposed planning estimates; evidence gates control delivery. R0 is synthetic-only and R10 is trigger-only.</x:v>
      </x:c>
      <x:c r="C3" s="15" t="str">
        <x:v>Review workbook generated from PHASE1-ROADMAP-MANIFEST.json on 2026-08-14. Dates are proposed planning estimates; evidence gates control delivery. R0 is synthetic-only and R10 is trigger-only.</x:v>
      </x:c>
      <x:c r="D3" s="15" t="str">
        <x:v>Review workbook generated from PHASE1-ROADMAP-MANIFEST.json on 2026-08-14. Dates are proposed planning estimates; evidence gates control delivery. R0 is synthetic-only and R10 is trigger-only.</x:v>
      </x:c>
      <x:c r="E3" s="15" t="str">
        <x:v>Review workbook generated from PHASE1-ROADMAP-MANIFEST.json on 2026-08-14. Dates are proposed planning estimates; evidence gates control delivery. R0 is synthetic-only and R10 is trigger-only.</x:v>
      </x:c>
      <x:c r="F3" s="15" t="str">
        <x:v>Review workbook generated from PHASE1-ROADMAP-MANIFEST.json on 2026-08-14. Dates are proposed planning estimates; evidence gates control delivery. R0 is synthetic-only and R10 is trigger-only.</x:v>
      </x:c>
      <x:c r="G3" s="15" t="str">
        <x:v>Review workbook generated from PHASE1-ROADMAP-MANIFEST.json on 2026-08-14. Dates are proposed planning estimates; evidence gates control delivery. R0 is synthetic-only and R10 is trigger-only.</x:v>
      </x:c>
      <x:c r="H3" s="15" t="str">
        <x:v>Review workbook generated from PHASE1-ROADMAP-MANIFEST.json on 2026-08-14. Dates are proposed planning estimates; evidence gates control delivery. R0 is synthetic-only and R10 is trigger-only.</x:v>
      </x:c>
      <x:c r="I3" s="15" t="str">
        <x:v>Review workbook generated from PHASE1-ROADMAP-MANIFEST.json on 2026-08-14. Dates are proposed planning estimates; evidence gates control delivery. R0 is synthetic-only and R10 is trigger-only.</x:v>
      </x:c>
      <x:c r="J3" s="15" t="str">
        <x:v>Review workbook generated from PHASE1-ROADMAP-MANIFEST.json on 2026-08-14. Dates are proposed planning estimates; evidence gates control delivery. R0 is synthetic-only and R10 is trigger-only.</x:v>
      </x:c>
      <x:c r="K3" s="15" t="str">
        <x:v>Review workbook generated from PHASE1-ROADMAP-MANIFEST.json on 2026-08-14. Dates are proposed planning estimates; evidence gates control delivery. R0 is synthetic-only and R10 is trigger-only.</x:v>
      </x:c>
      <x:c r="L3" s="15" t="str">
        <x:v>Review workbook generated from PHASE1-ROADMAP-MANIFEST.json on 2026-08-14. Dates are proposed planning estimates; evidence gates control delivery. R0 is synthetic-only and R10 is trigger-only.</x:v>
      </x:c>
      <x:c r="M3" s="15" t="str">
        <x:v>Review workbook generated from PHASE1-ROADMAP-MANIFEST.json on 2026-08-14. Dates are proposed planning estimates; evidence gates control delivery. R0 is synthetic-only and R10 is trigger-only.</x:v>
      </x:c>
      <x:c r="N3" s="15" t="str">
        <x:v>Review workbook generated from PHASE1-ROADMAP-MANIFEST.json on 2026-08-14. Dates are proposed planning estimates; evidence gates control delivery. R0 is synthetic-only and R10 is trigger-only.</x:v>
      </x:c>
      <x:c r="O3" s="15" t="str">
        <x:v>Review workbook generated from PHASE1-ROADMAP-MANIFEST.json on 2026-08-14. Dates are proposed planning estimates; evidence gates control delivery. R0 is synthetic-only and R10 is trigger-only.</x:v>
      </x:c>
      <x:c r="P3" s="15" t="str">
        <x:v>Review workbook generated from PHASE1-ROADMAP-MANIFEST.json on 2026-08-14. Dates are proposed planning estimates; evidence gates control delivery. R0 is synthetic-only and R10 is trigger-only.</x:v>
      </x:c>
      <x:c r="Q3" s="15" t="str">
        <x:v>Review workbook generated from PHASE1-ROADMAP-MANIFEST.json on 2026-08-14. Dates are proposed planning estimates; evidence gates control delivery. R0 is synthetic-only and R10 is trigger-only.</x:v>
      </x:c>
      <x:c r="R3" s="15" t="str">
        <x:v>Review workbook generated from PHASE1-ROADMAP-MANIFEST.json on 2026-08-14. Dates are proposed planning estimates; evidence gates control delivery. R0 is synthetic-only and R10 is trigger-only.</x:v>
      </x:c>
      <x:c r="S3" s="15" t="str">
        <x:v>Review workbook generated from PHASE1-ROADMAP-MANIFEST.json on 2026-08-14. Dates are proposed planning estimates; evidence gates control delivery. R0 is synthetic-only and R10 is trigger-only.</x:v>
      </x:c>
      <x:c r="T3" s="15" t="str">
        <x:v>Review workbook generated from PHASE1-ROADMAP-MANIFEST.json on 2026-08-14. Dates are proposed planning estimates; evidence gates control delivery. R0 is synthetic-only and R10 is trigger-only.</x:v>
      </x:c>
      <x:c r="U3" s="16" t="str">
        <x:v>Review workbook generated from PHASE1-ROADMAP-MANIFEST.json on 2026-08-14. Dates are proposed planning estimates; evidence gates control delivery. R0 is synthetic-only and R10 is trigger-only.</x:v>
      </x:c>
    </x:row>
    <x:row r="5" ht="30" customHeight="1">
      <x:c r="A5" s="33" t="str">
        <x:v>Plan metric</x:v>
      </x:c>
      <x:c r="B5" s="33" t="str">
        <x:v>Value</x:v>
      </x:c>
      <x:c r="C5" s="34"/>
      <x:c r="D5" s="34"/>
      <x:c r="E5" s="34"/>
      <x:c r="F5" s="34"/>
      <x:c r="G5" s="34"/>
      <x:c r="H5" s="34"/>
      <x:c r="I5" s="34"/>
      <x:c r="J5" s="34"/>
      <x:c r="K5" s="33" t="str">
        <x:v>Status</x:v>
      </x:c>
      <x:c r="L5" s="33" t="str">
        <x:v>Tasks</x:v>
      </x:c>
      <x:c r="M5" s="34"/>
      <x:c r="N5" s="34"/>
      <x:c r="O5" s="34"/>
      <x:c r="P5" s="34"/>
      <x:c r="Q5" s="34"/>
      <x:c r="R5" s="34"/>
      <x:c r="S5" s="34"/>
      <x:c r="T5" s="34"/>
      <x:c r="U5" s="34"/>
    </x:row>
    <x:row r="6">
      <x:c r="A6" s="26" t="str">
        <x:v>Roadmap tasks</x:v>
      </x:c>
      <x:c r="B6" s="26" t="n">
        <x:f>COUNTA('Roadmap Tasks'!$A$6:$A$63)</x:f>
        <x:v>58</x:v>
      </x:c>
      <x:c r="C6" s="34"/>
      <x:c r="D6" s="34"/>
      <x:c r="E6" s="34"/>
      <x:c r="F6" s="34"/>
      <x:c r="G6" s="34"/>
      <x:c r="H6" s="34"/>
      <x:c r="I6" s="34"/>
      <x:c r="J6" s="34"/>
      <x:c r="K6" s="26" t="str">
        <x:v>Backlog</x:v>
      </x:c>
      <x:c r="L6" s="26" t="n">
        <x:f>COUNTIF('Roadmap Tasks'!$C$6:$C$63,K6)</x:f>
        <x:v>40</x:v>
      </x:c>
      <x:c r="M6" s="34"/>
      <x:c r="N6" s="34"/>
      <x:c r="O6" s="34"/>
      <x:c r="P6" s="34"/>
      <x:c r="Q6" s="34"/>
      <x:c r="R6" s="34"/>
      <x:c r="S6" s="34"/>
      <x:c r="T6" s="34"/>
      <x:c r="U6" s="34"/>
    </x:row>
    <x:row r="7">
      <x:c r="A7" s="26" t="str">
        <x:v>Done planning tasks</x:v>
      </x:c>
      <x:c r="B7" s="26" t="n">
        <x:f>COUNTIF('Roadmap Tasks'!$C$6:$C$63,"Done")</x:f>
        <x:v>13</x:v>
      </x:c>
      <x:c r="C7" s="34"/>
      <x:c r="D7" s="34"/>
      <x:c r="E7" s="34"/>
      <x:c r="F7" s="34"/>
      <x:c r="G7" s="34"/>
      <x:c r="H7" s="34"/>
      <x:c r="I7" s="34"/>
      <x:c r="J7" s="34"/>
      <x:c r="K7" s="26" t="str">
        <x:v>Next</x:v>
      </x:c>
      <x:c r="L7" s="26" t="n">
        <x:f>COUNTIF('Roadmap Tasks'!$C$6:$C$63,K7)</x:f>
        <x:v>4</x:v>
      </x:c>
      <x:c r="M7" s="34"/>
      <x:c r="N7" s="34"/>
      <x:c r="O7" s="34"/>
      <x:c r="P7" s="34"/>
      <x:c r="Q7" s="34"/>
      <x:c r="R7" s="34"/>
      <x:c r="S7" s="34"/>
      <x:c r="T7" s="34"/>
      <x:c r="U7" s="34"/>
    </x:row>
    <x:row r="8">
      <x:c r="A8" s="26" t="str">
        <x:v>In progress</x:v>
      </x:c>
      <x:c r="B8" s="26" t="n">
        <x:f>COUNTIF('Roadmap Tasks'!$C$6:$C$63,"In progress")</x:f>
        <x:v>1</x:v>
      </x:c>
      <x:c r="C8" s="34"/>
      <x:c r="D8" s="34"/>
      <x:c r="E8" s="34"/>
      <x:c r="F8" s="34"/>
      <x:c r="G8" s="34"/>
      <x:c r="H8" s="34"/>
      <x:c r="I8" s="34"/>
      <x:c r="J8" s="34"/>
      <x:c r="K8" s="26" t="str">
        <x:v>In progress</x:v>
      </x:c>
      <x:c r="L8" s="26" t="n">
        <x:f>COUNTIF('Roadmap Tasks'!$C$6:$C$63,K8)</x:f>
        <x:v>1</x:v>
      </x:c>
      <x:c r="M8" s="34"/>
      <x:c r="N8" s="34"/>
      <x:c r="O8" s="34"/>
      <x:c r="P8" s="34"/>
      <x:c r="Q8" s="34"/>
      <x:c r="R8" s="34"/>
      <x:c r="S8" s="34"/>
      <x:c r="T8" s="34"/>
      <x:c r="U8" s="34"/>
    </x:row>
    <x:row r="9">
      <x:c r="A9" s="26" t="str">
        <x:v>Next</x:v>
      </x:c>
      <x:c r="B9" s="26" t="n">
        <x:f>COUNTIF('Roadmap Tasks'!$C$6:$C$63,"Next")</x:f>
        <x:v>4</x:v>
      </x:c>
      <x:c r="C9" s="34"/>
      <x:c r="D9" s="34"/>
      <x:c r="E9" s="34"/>
      <x:c r="F9" s="34"/>
      <x:c r="G9" s="34"/>
      <x:c r="H9" s="34"/>
      <x:c r="I9" s="34"/>
      <x:c r="J9" s="34"/>
      <x:c r="K9" s="26" t="str">
        <x:v>Done</x:v>
      </x:c>
      <x:c r="L9" s="26" t="n">
        <x:f>COUNTIF('Roadmap Tasks'!$C$6:$C$63,K9)</x:f>
        <x:v>13</x:v>
      </x:c>
      <x:c r="M9" s="34"/>
      <x:c r="N9" s="34"/>
      <x:c r="O9" s="34"/>
      <x:c r="P9" s="34"/>
      <x:c r="Q9" s="34"/>
      <x:c r="R9" s="34"/>
      <x:c r="S9" s="34"/>
      <x:c r="T9" s="34"/>
      <x:c r="U9" s="34"/>
    </x:row>
    <x:row r="10">
      <x:c r="A10" s="26" t="str">
        <x:v>Backlog</x:v>
      </x:c>
      <x:c r="B10" s="26" t="n">
        <x:f>COUNTIF('Roadmap Tasks'!$C$6:$C$63,"Backlog")</x:f>
        <x:v>40</x:v>
      </x:c>
      <x:c r="C10" s="34"/>
      <x:c r="D10" s="34"/>
      <x:c r="E10" s="34"/>
      <x:c r="F10" s="34"/>
      <x:c r="G10" s="34"/>
      <x:c r="H10" s="34"/>
      <x:c r="I10" s="34"/>
      <x:c r="J10" s="34"/>
      <x:c r="K10" s="34"/>
      <x:c r="L10" s="34"/>
      <x:c r="M10" s="34"/>
      <x:c r="N10" s="34"/>
      <x:c r="O10" s="34"/>
      <x:c r="P10" s="34"/>
      <x:c r="Q10" s="34"/>
      <x:c r="R10" s="34"/>
      <x:c r="S10" s="34"/>
      <x:c r="T10" s="34"/>
      <x:c r="U10" s="34"/>
    </x:row>
    <x:row r="11">
      <x:c r="A11" s="26" t="str">
        <x:v>Milestones</x:v>
      </x:c>
      <x:c r="B11" s="26" t="n">
        <x:f>COUNTA('Release Plan'!$A$6:$A$17)</x:f>
        <x:v>12</x:v>
      </x:c>
      <x:c r="C11" s="34"/>
      <x:c r="D11" s="34"/>
      <x:c r="E11" s="34"/>
      <x:c r="F11" s="34"/>
      <x:c r="G11" s="34"/>
      <x:c r="H11" s="34"/>
      <x:c r="I11" s="34"/>
      <x:c r="J11" s="34"/>
      <x:c r="K11" s="34"/>
      <x:c r="L11" s="34"/>
      <x:c r="M11" s="34"/>
      <x:c r="N11" s="34"/>
      <x:c r="O11" s="34"/>
      <x:c r="P11" s="34"/>
      <x:c r="Q11" s="34"/>
      <x:c r="R11" s="34"/>
      <x:c r="S11" s="34"/>
      <x:c r="T11" s="34"/>
      <x:c r="U11" s="34"/>
    </x:row>
    <x:row r="12" ht="30" customHeight="1">
      <x:c r="A12" s="26" t="str">
        <x:v>Requirements</x:v>
      </x:c>
      <x:c r="B12" s="26" t="n">
        <x:f>COUNTA('Requirement Map'!$A$6:$A$83)</x:f>
        <x:v>78</x:v>
      </x:c>
      <x:c r="C12" s="34"/>
      <x:c r="D12" s="34"/>
      <x:c r="E12" s="34"/>
      <x:c r="F12" s="34"/>
      <x:c r="G12" s="34"/>
      <x:c r="H12" s="34"/>
      <x:c r="I12" s="34"/>
      <x:c r="J12" s="34"/>
      <x:c r="K12" s="33" t="str">
        <x:v>Milestone</x:v>
      </x:c>
      <x:c r="L12" s="33" t="str">
        <x:v>Tasks</x:v>
      </x:c>
      <x:c r="M12" s="34"/>
      <x:c r="N12" s="34"/>
      <x:c r="O12" s="34"/>
      <x:c r="P12" s="34"/>
      <x:c r="Q12" s="34"/>
      <x:c r="R12" s="34"/>
      <x:c r="S12" s="34"/>
      <x:c r="T12" s="34"/>
      <x:c r="U12" s="34"/>
    </x:row>
    <x:row r="13">
      <x:c r="A13" s="26" t="str">
        <x:v>Active coverage</x:v>
      </x:c>
      <x:c r="B13" s="26" t="n">
        <x:f>COUNTIF('Requirement Map'!$B$6:$B$83,"&lt;&gt;Deferred")</x:f>
        <x:v>71</x:v>
      </x:c>
      <x:c r="C13" s="34"/>
      <x:c r="D13" s="34"/>
      <x:c r="E13" s="34"/>
      <x:c r="F13" s="34"/>
      <x:c r="G13" s="34"/>
      <x:c r="H13" s="34"/>
      <x:c r="I13" s="34"/>
      <x:c r="J13" s="34"/>
      <x:c r="K13" s="26" t="str">
        <x:v>P0</x:v>
      </x:c>
      <x:c r="L13" s="26" t="n">
        <x:f>COUNTIF('Roadmap Tasks'!$D$6:$D$63,K13)</x:f>
        <x:v>2</x:v>
      </x:c>
      <x:c r="M13" s="34"/>
      <x:c r="N13" s="34"/>
      <x:c r="O13" s="34"/>
      <x:c r="P13" s="34"/>
      <x:c r="Q13" s="34"/>
      <x:c r="R13" s="34"/>
      <x:c r="S13" s="34"/>
      <x:c r="T13" s="34"/>
      <x:c r="U13" s="34"/>
    </x:row>
    <x:row r="14">
      <x:c r="A14" s="26" t="str">
        <x:v>Planning completion</x:v>
      </x:c>
      <x:c r="B14" s="27" t="n">
        <x:f>B7/B6</x:f>
        <x:v>0.22413793103448276</x:v>
      </x:c>
      <x:c r="C14" s="34"/>
      <x:c r="D14" s="34"/>
      <x:c r="E14" s="34"/>
      <x:c r="F14" s="34"/>
      <x:c r="G14" s="34"/>
      <x:c r="H14" s="34"/>
      <x:c r="I14" s="34"/>
      <x:c r="J14" s="34"/>
      <x:c r="K14" s="26" t="str">
        <x:v>R0</x:v>
      </x:c>
      <x:c r="L14" s="26" t="n">
        <x:f>COUNTIF('Roadmap Tasks'!$D$6:$D$63,K14)</x:f>
        <x:v>6</x:v>
      </x:c>
      <x:c r="M14" s="34"/>
      <x:c r="N14" s="34"/>
      <x:c r="O14" s="34"/>
      <x:c r="P14" s="34"/>
      <x:c r="Q14" s="34"/>
      <x:c r="R14" s="34"/>
      <x:c r="S14" s="34"/>
      <x:c r="T14" s="34"/>
      <x:c r="U14" s="34"/>
    </x:row>
    <x:row r="15">
      <x:c r="A15" s="34"/>
      <x:c r="B15" s="34"/>
      <x:c r="C15" s="34"/>
      <x:c r="D15" s="34"/>
      <x:c r="E15" s="34"/>
      <x:c r="F15" s="34"/>
      <x:c r="G15" s="34"/>
      <x:c r="H15" s="34"/>
      <x:c r="I15" s="34"/>
      <x:c r="J15" s="34"/>
      <x:c r="K15" s="26" t="str">
        <x:v>R1</x:v>
      </x:c>
      <x:c r="L15" s="26" t="n">
        <x:f>COUNTIF('Roadmap Tasks'!$D$6:$D$63,K15)</x:f>
        <x:v>5</x:v>
      </x:c>
      <x:c r="M15" s="34"/>
      <x:c r="N15" s="34"/>
      <x:c r="O15" s="34"/>
      <x:c r="P15" s="34"/>
      <x:c r="Q15" s="34"/>
      <x:c r="R15" s="34"/>
      <x:c r="S15" s="34"/>
      <x:c r="T15" s="34"/>
      <x:c r="U15" s="34"/>
    </x:row>
    <x:row r="16">
      <x:c r="A16" s="35" t="str">
        <x:v>Council release sequence</x:v>
      </x:c>
      <x:c r="B16" s="35" t="str">
        <x:v>Council release sequence</x:v>
      </x:c>
      <x:c r="C16" s="35" t="str">
        <x:v>Council release sequence</x:v>
      </x:c>
      <x:c r="D16" s="35" t="str">
        <x:v>Council release sequence</x:v>
      </x:c>
      <x:c r="E16" s="35" t="str">
        <x:v>Council release sequence</x:v>
      </x:c>
      <x:c r="F16" s="35" t="str">
        <x:v>Council release sequence</x:v>
      </x:c>
      <x:c r="G16" s="35" t="str">
        <x:v>Council release sequence</x:v>
      </x:c>
      <x:c r="H16" s="35" t="str">
        <x:v>Council release sequence</x:v>
      </x:c>
      <x:c r="I16" s="34"/>
      <x:c r="J16" s="34"/>
      <x:c r="K16" s="26" t="str">
        <x:v>R2</x:v>
      </x:c>
      <x:c r="L16" s="26" t="n">
        <x:f>COUNTIF('Roadmap Tasks'!$D$6:$D$63,K16)</x:f>
        <x:v>6</x:v>
      </x:c>
      <x:c r="M16" s="34"/>
      <x:c r="N16" s="34"/>
      <x:c r="O16" s="34"/>
      <x:c r="P16" s="34"/>
      <x:c r="Q16" s="34"/>
      <x:c r="R16" s="34"/>
      <x:c r="S16" s="34"/>
      <x:c r="T16" s="34"/>
      <x:c r="U16" s="34"/>
    </x:row>
    <x:row r="17" ht="30" customHeight="1">
      <x:c r="A17" s="33" t="str">
        <x:v>Milestone</x:v>
      </x:c>
      <x:c r="B17" s="33" t="str">
        <x:v>Release</x:v>
      </x:c>
      <x:c r="C17" s="33" t="str">
        <x:v>Start</x:v>
      </x:c>
      <x:c r="D17" s="33" t="str">
        <x:v>Target</x:v>
      </x:c>
      <x:c r="E17" s="33" t="str">
        <x:v>Outcome</x:v>
      </x:c>
      <x:c r="F17" s="33" t="str">
        <x:v>Entry dependency</x:v>
      </x:c>
      <x:c r="G17" s="33" t="str">
        <x:v>Tasks</x:v>
      </x:c>
      <x:c r="H17" s="33" t="str">
        <x:v>Status note</x:v>
      </x:c>
      <x:c r="I17" s="34"/>
      <x:c r="J17" s="34"/>
      <x:c r="K17" s="26" t="str">
        <x:v>R3</x:v>
      </x:c>
      <x:c r="L17" s="26" t="n">
        <x:f>COUNTIF('Roadmap Tasks'!$D$6:$D$63,K17)</x:f>
        <x:v>5</x:v>
      </x:c>
      <x:c r="M17" s="34"/>
      <x:c r="N17" s="34"/>
      <x:c r="O17" s="34"/>
      <x:c r="P17" s="34"/>
      <x:c r="Q17" s="34"/>
      <x:c r="R17" s="34"/>
      <x:c r="S17" s="34"/>
      <x:c r="T17" s="34"/>
      <x:c r="U17" s="34"/>
    </x:row>
    <x:row r="18">
      <x:c r="A18" s="32" t="str">
        <x:v>P0</x:v>
      </x:c>
      <x:c r="B18" s="26" t="str">
        <x:v>Council Planning Baseline</x:v>
      </x:c>
      <x:c r="C18" s="31" t="n">
        <x:v>46248</x:v>
      </x:c>
      <x:c r="D18" s="31" t="n">
        <x:v>46250</x:v>
      </x:c>
      <x:c r="E18" s="26" t="str">
        <x:v>A source-grounded, reviewable Product Council package and one canonical delivery manifest.</x:v>
      </x:c>
      <x:c r="F18" s="26" t="str">
        <x:v>None</x:v>
      </x:c>
      <x:c r="G18" s="26" t="n">
        <x:v>2</x:v>
      </x:c>
      <x:c r="H18" s="26" t="str">
        <x:v>Evidence-gated estimate</x:v>
      </x:c>
      <x:c r="I18" s="34"/>
      <x:c r="J18" s="34"/>
      <x:c r="K18" s="26" t="str">
        <x:v>R4</x:v>
      </x:c>
      <x:c r="L18" s="26" t="n">
        <x:f>COUNTIF('Roadmap Tasks'!$D$6:$D$63,K18)</x:f>
        <x:v>6</x:v>
      </x:c>
      <x:c r="M18" s="34"/>
      <x:c r="N18" s="34"/>
      <x:c r="O18" s="34"/>
      <x:c r="P18" s="34"/>
      <x:c r="Q18" s="34"/>
      <x:c r="R18" s="34"/>
      <x:c r="S18" s="34"/>
      <x:c r="T18" s="34"/>
      <x:c r="U18" s="34"/>
    </x:row>
    <x:row r="19">
      <x:c r="A19" s="32" t="str">
        <x:v>R0</x:v>
      </x:c>
      <x:c r="B19" s="26" t="str">
        <x:v>Shared-Host Private Foundation</x:v>
      </x:c>
      <x:c r="C19" s="31" t="n">
        <x:v>46251</x:v>
      </x:c>
      <x:c r="D19" s="31" t="n">
        <x:v>46262</x:v>
      </x:c>
      <x:c r="E19" s="26" t="str">
        <x:v>A synthetic-only private shell can coexist with current services, recover, upgrade, and roll back.</x:v>
      </x:c>
      <x:c r="F19" s="26" t="str">
        <x:v>P0 accepted</x:v>
      </x:c>
      <x:c r="G19" s="26" t="n">
        <x:v>6</x:v>
      </x:c>
      <x:c r="H19" s="26" t="str">
        <x:v>Evidence-gated estimate</x:v>
      </x:c>
      <x:c r="I19" s="34"/>
      <x:c r="J19" s="34"/>
      <x:c r="K19" s="26" t="str">
        <x:v>R5</x:v>
      </x:c>
      <x:c r="L19" s="26" t="n">
        <x:f>COUNTIF('Roadmap Tasks'!$D$6:$D$63,K19)</x:f>
        <x:v>6</x:v>
      </x:c>
      <x:c r="M19" s="34"/>
      <x:c r="N19" s="34"/>
      <x:c r="O19" s="34"/>
      <x:c r="P19" s="34"/>
      <x:c r="Q19" s="34"/>
      <x:c r="R19" s="34"/>
      <x:c r="S19" s="34"/>
      <x:c r="T19" s="34"/>
      <x:c r="U19" s="34"/>
    </x:row>
    <x:row r="20">
      <x:c r="A20" s="32" t="str">
        <x:v>R1</x:v>
      </x:c>
      <x:c r="B20" s="26" t="str">
        <x:v>Manual Journal Archive</x:v>
      </x:c>
      <x:c r="C20" s="31" t="n">
        <x:v>46265</x:v>
      </x:c>
      <x:c r="D20" s="31" t="n">
        <x:v>46283</x:v>
      </x:c>
      <x:c r="E20" s="26" t="str">
        <x:v>First memory-creating release: explicit-date text upload, Calendar, and Journal Day recall.</x:v>
      </x:c>
      <x:c r="F20" s="26" t="str">
        <x:v>R0 accepted</x:v>
      </x:c>
      <x:c r="G20" s="26" t="n">
        <x:v>5</x:v>
      </x:c>
      <x:c r="H20" s="26" t="str">
        <x:v>Evidence-gated estimate</x:v>
      </x:c>
      <x:c r="I20" s="34"/>
      <x:c r="J20" s="34"/>
      <x:c r="K20" s="26" t="str">
        <x:v>R6</x:v>
      </x:c>
      <x:c r="L20" s="26" t="n">
        <x:f>COUNTIF('Roadmap Tasks'!$D$6:$D$63,K20)</x:f>
        <x:v>6</x:v>
      </x:c>
      <x:c r="M20" s="34"/>
      <x:c r="N20" s="34"/>
      <x:c r="O20" s="34"/>
      <x:c r="P20" s="34"/>
      <x:c r="Q20" s="34"/>
      <x:c r="R20" s="34"/>
      <x:c r="S20" s="34"/>
      <x:c r="T20" s="34"/>
      <x:c r="U20" s="34"/>
    </x:row>
    <x:row r="21">
      <x:c r="A21" s="32" t="str">
        <x:v>R2</x:v>
      </x:c>
      <x:c r="B21" s="26" t="str">
        <x:v>Telegram Photo Capture</x:v>
      </x:c>
      <x:c r="C21" s="31" t="n">
        <x:v>46286</x:v>
      </x:c>
      <x:c r="D21" s="31" t="n">
        <x:v>46304</x:v>
      </x:c>
      <x:c r="E21" s="26" t="str">
        <x:v>Authorized durable photo capture with review-safe dating, gallery, cover, duplicates, and privacy-safe derivatives.</x:v>
      </x:c>
      <x:c r="F21" s="26" t="str">
        <x:v>R1 accepted</x:v>
      </x:c>
      <x:c r="G21" s="26" t="n">
        <x:v>6</x:v>
      </x:c>
      <x:c r="H21" s="26" t="str">
        <x:v>Evidence-gated estimate</x:v>
      </x:c>
      <x:c r="I21" s="34"/>
      <x:c r="J21" s="34"/>
      <x:c r="K21" s="26" t="str">
        <x:v>R7</x:v>
      </x:c>
      <x:c r="L21" s="26" t="n">
        <x:f>COUNTIF('Roadmap Tasks'!$D$6:$D$63,K21)</x:f>
        <x:v>6</x:v>
      </x:c>
      <x:c r="M21" s="34"/>
      <x:c r="N21" s="34"/>
      <x:c r="O21" s="34"/>
      <x:c r="P21" s="34"/>
      <x:c r="Q21" s="34"/>
      <x:c r="R21" s="34"/>
      <x:c r="S21" s="34"/>
      <x:c r="T21" s="34"/>
      <x:c r="U21" s="34"/>
    </x:row>
    <x:row r="22">
      <x:c r="A22" s="32" t="str">
        <x:v>R3</x:v>
      </x:c>
      <x:c r="B22" s="26" t="str">
        <x:v>Retrieval and Date Integrity</x:v>
      </x:c>
      <x:c r="C22" s="31" t="n">
        <x:v>46307</x:v>
      </x:c>
      <x:c r="D22" s="31" t="n">
        <x:v>46325</x:v>
      </x:c>
      <x:c r="E22" s="26" t="str">
        <x:v>Cross-month browsing, deterministic search, Needs Date Review, and atomic source redating.</x:v>
      </x:c>
      <x:c r="F22" s="26" t="str">
        <x:v>R2 accepted</x:v>
      </x:c>
      <x:c r="G22" s="26" t="n">
        <x:v>5</x:v>
      </x:c>
      <x:c r="H22" s="26" t="str">
        <x:v>Evidence-gated estimate</x:v>
      </x:c>
      <x:c r="I22" s="34"/>
      <x:c r="J22" s="34"/>
      <x:c r="K22" s="26" t="str">
        <x:v>R8</x:v>
      </x:c>
      <x:c r="L22" s="26" t="n">
        <x:f>COUNTIF('Roadmap Tasks'!$D$6:$D$63,K22)</x:f>
        <x:v>4</x:v>
      </x:c>
      <x:c r="M22" s="34"/>
      <x:c r="N22" s="34"/>
      <x:c r="O22" s="34"/>
      <x:c r="P22" s="34"/>
      <x:c r="Q22" s="34"/>
      <x:c r="R22" s="34"/>
      <x:c r="S22" s="34"/>
      <x:c r="T22" s="34"/>
      <x:c r="U22" s="34"/>
    </x:row>
    <x:row r="23">
      <x:c r="A23" s="32" t="str">
        <x:v>R4</x:v>
      </x:c>
      <x:c r="B23" s="26" t="str">
        <x:v>Source History and Lifecycle Safety</x:v>
      </x:c>
      <x:c r="C23" s="31" t="n">
        <x:v>46328</x:v>
      </x:c>
      <x:c r="D23" s="31" t="n">
        <x:v>46346</x:v>
      </x:c>
      <x:c r="E23" s="26" t="str">
        <x:v>Corrections, upstream conflicts, History, Trash, suppressions, and complete restorable export.</x:v>
      </x:c>
      <x:c r="F23" s="26" t="str">
        <x:v>R3 accepted</x:v>
      </x:c>
      <x:c r="G23" s="26" t="n">
        <x:v>6</x:v>
      </x:c>
      <x:c r="H23" s="26" t="str">
        <x:v>Evidence-gated estimate</x:v>
      </x:c>
      <x:c r="I23" s="34"/>
      <x:c r="J23" s="34"/>
      <x:c r="K23" s="26" t="str">
        <x:v>R9</x:v>
      </x:c>
      <x:c r="L23" s="26" t="n">
        <x:f>COUNTIF('Roadmap Tasks'!$D$6:$D$63,K23)</x:f>
        <x:v>3</x:v>
      </x:c>
      <x:c r="M23" s="34"/>
      <x:c r="N23" s="34"/>
      <x:c r="O23" s="34"/>
      <x:c r="P23" s="34"/>
      <x:c r="Q23" s="34"/>
      <x:c r="R23" s="34"/>
      <x:c r="S23" s="34"/>
      <x:c r="T23" s="34"/>
      <x:c r="U23" s="34"/>
    </x:row>
    <x:row r="24">
      <x:c r="A24" s="32" t="str">
        <x:v>R5</x:v>
      </x:c>
      <x:c r="B24" s="26" t="str">
        <x:v>Prospective VoiceNotes Sync</x:v>
      </x:c>
      <x:c r="C24" s="31" t="n">
        <x:v>46349</x:v>
      </x:c>
      <x:c r="D24" s="31" t="n">
        <x:v>46367</x:v>
      </x:c>
      <x:c r="E24" s="26" t="str">
        <x:v>Spike-proven, prospective-only VoiceNotes retrieval and replay-safe reconciliation.</x:v>
      </x:c>
      <x:c r="F24" s="26" t="str">
        <x:v>R4 accepted and VoiceNotes synthetic contract spike passes</x:v>
      </x:c>
      <x:c r="G24" s="26" t="n">
        <x:v>6</x:v>
      </x:c>
      <x:c r="H24" s="26" t="str">
        <x:v>Evidence-gated estimate</x:v>
      </x:c>
      <x:c r="I24" s="34"/>
      <x:c r="J24" s="34"/>
      <x:c r="K24" s="26" t="str">
        <x:v>R10</x:v>
      </x:c>
      <x:c r="L24" s="26" t="n">
        <x:f>COUNTIF('Roadmap Tasks'!$D$6:$D$63,K24)</x:f>
        <x:v>3</x:v>
      </x:c>
      <x:c r="M24" s="34"/>
      <x:c r="N24" s="34"/>
      <x:c r="O24" s="34"/>
      <x:c r="P24" s="34"/>
      <x:c r="Q24" s="34"/>
      <x:c r="R24" s="34"/>
      <x:c r="S24" s="34"/>
      <x:c r="T24" s="34"/>
      <x:c r="U24" s="34"/>
    </x:row>
    <x:row r="25">
      <x:c r="A25" s="32" t="str">
        <x:v>R6</x:v>
      </x:c>
      <x:c r="B25" s="26" t="str">
        <x:v>Generated Text Reflection</x:v>
      </x:c>
      <x:c r="C25" s="31" t="n">
        <x:v>46370</x:v>
      </x:c>
      <x:c r="D25" s="31" t="n">
        <x:v>46395</x:v>
      </x:c>
      <x:c r="E25" s="26" t="str">
        <x:v>Optional evaluated titles, summaries, tags, and Visual Briefs with protection, provenance, and budget enforcement.</x:v>
      </x:c>
      <x:c r="F25" s="26" t="str">
        <x:v>R5 accepted and text-model evaluation passes</x:v>
      </x:c>
      <x:c r="G25" s="26" t="n">
        <x:v>6</x:v>
      </x:c>
      <x:c r="H25" s="26" t="str">
        <x:v>Evidence-gated estimate</x:v>
      </x:c>
      <x:c r="I25" s="34"/>
      <x:c r="J25" s="34"/>
      <x:c r="K25" s="34"/>
      <x:c r="L25" s="34"/>
      <x:c r="M25" s="34"/>
      <x:c r="N25" s="34"/>
      <x:c r="O25" s="34"/>
      <x:c r="P25" s="34"/>
      <x:c r="Q25" s="34"/>
      <x:c r="R25" s="34"/>
      <x:c r="S25" s="34"/>
      <x:c r="T25" s="34"/>
      <x:c r="U25" s="34"/>
    </x:row>
    <x:row r="26">
      <x:c r="A26" s="32" t="str">
        <x:v>R7</x:v>
      </x:c>
      <x:c r="B26" s="26" t="str">
        <x:v>Generated Artwork</x:v>
      </x:c>
      <x:c r="C26" s="31" t="n">
        <x:v>46398</x:v>
      </x:c>
      <x:c r="D26" s="31" t="n">
        <x:v>46416</x:v>
      </x:c>
      <x:c r="E26" s="26" t="str">
        <x:v>Optional evaluated symbolic artwork with explicit preflight, versions, suppression, and real-photo cover precedence.</x:v>
      </x:c>
      <x:c r="F26" s="26" t="str">
        <x:v>R6 accepted and artwork-model evaluation passes</x:v>
      </x:c>
      <x:c r="G26" s="26" t="n">
        <x:v>6</x:v>
      </x:c>
      <x:c r="H26" s="26" t="str">
        <x:v>Evidence-gated estimate</x:v>
      </x:c>
      <x:c r="I26" s="34"/>
      <x:c r="J26" s="34"/>
      <x:c r="K26" s="34"/>
      <x:c r="L26" s="34"/>
      <x:c r="M26" s="34"/>
      <x:c r="N26" s="34"/>
      <x:c r="O26" s="34"/>
      <x:c r="P26" s="34"/>
      <x:c r="Q26" s="34"/>
      <x:c r="R26" s="34"/>
      <x:c r="S26" s="34"/>
      <x:c r="T26" s="34"/>
      <x:c r="U26" s="34"/>
    </x:row>
    <x:row r="27">
      <x:c r="A27" s="32" t="str">
        <x:v>R8</x:v>
      </x:c>
      <x:c r="B27" s="26" t="str">
        <x:v>Operational Scale and Resilience</x:v>
      </x:c>
      <x:c r="C27" s="31" t="n">
        <x:v>46419</x:v>
      </x:c>
      <x:c r="D27" s="31" t="n">
        <x:v>46437</x:v>
      </x:c>
      <x:c r="E27" s="26" t="str">
        <x:v>The integrated archive degrades safely under dependency, capacity, restart, and job failures.</x:v>
      </x:c>
      <x:c r="F27" s="26" t="str">
        <x:v>R0 through R7 accepted</x:v>
      </x:c>
      <x:c r="G27" s="26" t="n">
        <x:v>4</x:v>
      </x:c>
      <x:c r="H27" s="26" t="str">
        <x:v>Evidence-gated estimate</x:v>
      </x:c>
      <x:c r="I27" s="34"/>
      <x:c r="J27" s="34"/>
      <x:c r="K27" s="34"/>
      <x:c r="L27" s="34"/>
      <x:c r="M27" s="34"/>
      <x:c r="N27" s="34"/>
      <x:c r="O27" s="34"/>
      <x:c r="P27" s="34"/>
      <x:c r="Q27" s="34"/>
      <x:c r="R27" s="34"/>
      <x:c r="S27" s="34"/>
      <x:c r="T27" s="34"/>
      <x:c r="U27" s="34"/>
    </x:row>
    <x:row r="28">
      <x:c r="A28" s="32" t="str">
        <x:v>R9</x:v>
      </x:c>
      <x:c r="B28" s="26" t="str">
        <x:v>Private Launch Acceptance and Stabilization</x:v>
      </x:c>
      <x:c r="C28" s="31" t="n">
        <x:v>46440</x:v>
      </x:c>
      <x:c r="D28" s="31" t="n">
        <x:v>46458</x:v>
      </x:c>
      <x:c r="E28" s="26" t="str">
        <x:v>The complete private archive is owner-accepted for routine personal use and stabilized without new scope.</x:v>
      </x:c>
      <x:c r="F28" s="26" t="str">
        <x:v>R8 accepted and explicit launch authority</x:v>
      </x:c>
      <x:c r="G28" s="26" t="n">
        <x:v>3</x:v>
      </x:c>
      <x:c r="H28" s="26" t="str">
        <x:v>Evidence-gated estimate</x:v>
      </x:c>
      <x:c r="I28" s="34"/>
      <x:c r="J28" s="34"/>
      <x:c r="K28" s="34"/>
      <x:c r="L28" s="34"/>
      <x:c r="M28" s="34"/>
      <x:c r="N28" s="34"/>
      <x:c r="O28" s="34"/>
      <x:c r="P28" s="34"/>
      <x:c r="Q28" s="34"/>
      <x:c r="R28" s="34"/>
      <x:c r="S28" s="34"/>
      <x:c r="T28" s="34"/>
      <x:c r="U28" s="34"/>
    </x:row>
    <x:row r="29">
      <x:c r="A29" s="32" t="str">
        <x:v>R10</x:v>
      </x:c>
      <x:c r="B29" s="26" t="str">
        <x:v>Conditional Object-store Transition</x:v>
      </x:c>
      <x:c r="C29" s="31"/>
      <x:c r="D29" s="31"/>
      <x:c r="E29" s="26" t="str">
        <x:v>Live encrypted media moves only after approved local-capacity watermarks trigger a reversible transition.</x:v>
      </x:c>
      <x:c r="F29" s="26" t="str">
        <x:v>Measured storage trigger; no calendar commitment</x:v>
      </x:c>
      <x:c r="G29" s="26" t="n">
        <x:v>3</x:v>
      </x:c>
      <x:c r="H29" s="26" t="str">
        <x:v>Dates intentionally blank</x:v>
      </x:c>
      <x:c r="I29" s="34"/>
      <x:c r="J29" s="34"/>
      <x:c r="K29" s="34"/>
      <x:c r="L29" s="34"/>
      <x:c r="M29" s="34"/>
      <x:c r="N29" s="34"/>
      <x:c r="O29" s="34"/>
      <x:c r="P29" s="34"/>
      <x:c r="Q29" s="34"/>
      <x:c r="R29" s="34"/>
      <x:c r="S29" s="34"/>
      <x:c r="T29" s="34"/>
      <x:c r="U29" s="34"/>
    </x:row>
    <x:row r="30">
      <x:c r="A30" s="34"/>
      <x:c r="B30" s="34"/>
      <x:c r="C30" s="34"/>
      <x:c r="D30" s="34"/>
      <x:c r="E30" s="34"/>
      <x:c r="F30" s="34"/>
      <x:c r="G30" s="34"/>
      <x:c r="H30" s="34"/>
      <x:c r="I30" s="34"/>
      <x:c r="J30" s="34"/>
      <x:c r="K30" s="34"/>
      <x:c r="L30" s="34"/>
      <x:c r="M30" s="34"/>
      <x:c r="N30" s="34"/>
      <x:c r="O30" s="34"/>
      <x:c r="P30" s="34"/>
      <x:c r="Q30" s="34"/>
      <x:c r="R30" s="34"/>
      <x:c r="S30" s="34"/>
      <x:c r="T30" s="34"/>
      <x:c r="U30" s="34"/>
    </x:row>
  </x:sheetData>
  <x:mergeCells>
    <x:mergeCell ref="A1:U2"/>
    <x:mergeCell ref="A3:U3"/>
    <x:mergeCell ref="A16:H16"/>
  </x:mergeCells>
  <x:conditionalFormatting sqref="K6:K9">
    <x:cfRule type="containsText" dxfId="0" priority="1" operator="containsText" text="Backlog"/>
    <x:cfRule type="containsText" dxfId="1" priority="2" operator="containsText" text="Next"/>
    <x:cfRule type="containsText" dxfId="2" priority="3" operator="containsText" text="In progress"/>
    <x:cfRule type="containsText" dxfId="3" priority="4" operator="containsText" text="Done"/>
  </x:conditionalFormatting>
  <x:pageMargins left="0.7" right="0.7" top="0.75" bottom="0.75" header="0.3" footer="0.3"/>
  <x:drawing xmlns:r="http://schemas.openxmlformats.org/officeDocument/2006/relationships" r:id="R448a1729758a424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13" hidden="0" customWidth="1"/>
    <x:col min="4" max="4" width="13" hidden="0" customWidth="1"/>
    <x:col min="5" max="5" width="9" hidden="0" customWidth="1"/>
    <x:col min="6" max="6" width="42" hidden="0" customWidth="1"/>
    <x:col min="7" max="7" width="48" hidden="0" customWidth="1"/>
    <x:col min="8" max="8" width="32" hidden="0" customWidth="1"/>
    <x:col min="9" max="9" width="26" hidden="0" customWidth="1"/>
  </x:cols>
  <x:sheetData>
    <x:row r="1" ht="28" customHeight="1">
      <x:c r="A1" s="5" t="str">
        <x:v>Milestone Release Plan</x:v>
      </x:c>
      <x:c r="B1" s="5" t="str">
        <x:v>Milestone Release Plan</x:v>
      </x:c>
      <x:c r="C1" s="5" t="str">
        <x:v>Milestone Release Plan</x:v>
      </x:c>
      <x:c r="D1" s="5" t="str">
        <x:v>Milestone Release Plan</x:v>
      </x:c>
      <x:c r="E1" s="5" t="str">
        <x:v>Milestone Release Plan</x:v>
      </x:c>
      <x:c r="F1" s="5" t="str">
        <x:v>Milestone Release Plan</x:v>
      </x:c>
      <x:c r="G1" s="5" t="str">
        <x:v>Milestone Release Plan</x:v>
      </x:c>
      <x:c r="H1" s="5" t="str">
        <x:v>Milestone Release Plan</x:v>
      </x:c>
      <x:c r="I1" s="5" t="str">
        <x:v>Milestone Release Plan</x:v>
      </x:c>
    </x:row>
    <x:row r="2" ht="28" customHeight="1">
      <x:c r="A2" s="5" t="str">
        <x:v>Milestone Release Plan</x:v>
      </x:c>
      <x:c r="B2" s="5" t="str">
        <x:v>Milestone Release Plan</x:v>
      </x:c>
      <x:c r="C2" s="5" t="str">
        <x:v>Milestone Release Plan</x:v>
      </x:c>
      <x:c r="D2" s="5" t="str">
        <x:v>Milestone Release Plan</x:v>
      </x:c>
      <x:c r="E2" s="5" t="str">
        <x:v>Milestone Release Plan</x:v>
      </x:c>
      <x:c r="F2" s="5" t="str">
        <x:v>Milestone Release Plan</x:v>
      </x:c>
      <x:c r="G2" s="5" t="str">
        <x:v>Milestone Release Plan</x:v>
      </x:c>
      <x:c r="H2" s="5" t="str">
        <x:v>Milestone Release Plan</x:v>
      </x:c>
      <x:c r="I2" s="5" t="str">
        <x:v>Milestone Release Plan</x:v>
      </x:c>
    </x:row>
    <x:row r="3" ht="34" customHeight="1">
      <x:c r="A3" s="14" t="str">
        <x:v>Every milestone is independently reviewable. Start/Target are proposed estimates in Asia/Kolkata. R10 remains blank until the approved storage trigger exists.</x:v>
      </x:c>
      <x:c r="B3" s="15" t="str">
        <x:v>Every milestone is independently reviewable. Start/Target are proposed estimates in Asia/Kolkata. R10 remains blank until the approved storage trigger exists.</x:v>
      </x:c>
      <x:c r="C3" s="15" t="str">
        <x:v>Every milestone is independently reviewable. Start/Target are proposed estimates in Asia/Kolkata. R10 remains blank until the approved storage trigger exists.</x:v>
      </x:c>
      <x:c r="D3" s="15" t="str">
        <x:v>Every milestone is independently reviewable. Start/Target are proposed estimates in Asia/Kolkata. R10 remains blank until the approved storage trigger exists.</x:v>
      </x:c>
      <x:c r="E3" s="15" t="str">
        <x:v>Every milestone is independently reviewable. Start/Target are proposed estimates in Asia/Kolkata. R10 remains blank until the approved storage trigger exists.</x:v>
      </x:c>
      <x:c r="F3" s="15" t="str">
        <x:v>Every milestone is independently reviewable. Start/Target are proposed estimates in Asia/Kolkata. R10 remains blank until the approved storage trigger exists.</x:v>
      </x:c>
      <x:c r="G3" s="15" t="str">
        <x:v>Every milestone is independently reviewable. Start/Target are proposed estimates in Asia/Kolkata. R10 remains blank until the approved storage trigger exists.</x:v>
      </x:c>
      <x:c r="H3" s="15" t="str">
        <x:v>Every milestone is independently reviewable. Start/Target are proposed estimates in Asia/Kolkata. R10 remains blank until the approved storage trigger exists.</x:v>
      </x:c>
      <x:c r="I3" s="16" t="str">
        <x:v>Every milestone is independently reviewable. Start/Target are proposed estimates in Asia/Kolkata. R10 remains blank until the approved storage trigger exists.</x:v>
      </x:c>
    </x:row>
    <x:row r="5" ht="30" customHeight="1">
      <x:c r="A5" s="22" t="str">
        <x:v>Milestone</x:v>
      </x:c>
      <x:c r="B5" s="22" t="str">
        <x:v>Release</x:v>
      </x:c>
      <x:c r="C5" s="22" t="str">
        <x:v>Start</x:v>
      </x:c>
      <x:c r="D5" s="22" t="str">
        <x:v>Target</x:v>
      </x:c>
      <x:c r="E5" s="22" t="str">
        <x:v>Days</x:v>
      </x:c>
      <x:c r="F5" s="22" t="str">
        <x:v>Meaningful outcome</x:v>
      </x:c>
      <x:c r="G5" s="22" t="str">
        <x:v>Exit evidence</x:v>
      </x:c>
      <x:c r="H5" s="22" t="str">
        <x:v>Entry dependency</x:v>
      </x:c>
      <x:c r="I5" s="22" t="str">
        <x:v>Date basis</x:v>
      </x:c>
    </x:row>
    <x:row r="6" ht="62" customHeight="1">
      <x:c r="A6" s="37" t="str">
        <x:v>P0</x:v>
      </x:c>
      <x:c r="B6" s="26" t="str">
        <x:v>Council Planning Baseline</x:v>
      </x:c>
      <x:c r="C6" s="31" t="n">
        <x:v>46248</x:v>
      </x:c>
      <x:c r="D6" s="31" t="n">
        <x:v>46250</x:v>
      </x:c>
      <x:c r="E6" s="26" t="n">
        <x:f>IF(OR(C6="",D6=""),"",D6-C6+1)</x:f>
        <x:v>3</x:v>
      </x:c>
      <x:c r="F6" s="26" t="str">
        <x:v>A source-grounded, reviewable Product Council package and one canonical delivery manifest.</x:v>
      </x:c>
      <x:c r="G6" s="26" t="str">
        <x:v>Council reviews, source hashes, requirement coverage, workbook, and GitHub roadmap agree.</x:v>
      </x:c>
      <x:c r="H6" s="26" t="str">
        <x:v>None</x:v>
      </x:c>
      <x:c r="I6" s="26" t="str">
        <x:v>Estimate; evidence gates control</x:v>
      </x:c>
    </x:row>
    <x:row r="7" ht="62" customHeight="1">
      <x:c r="A7" s="37" t="str">
        <x:v>R0</x:v>
      </x:c>
      <x:c r="B7" s="26" t="str">
        <x:v>Shared-Host Private Foundation</x:v>
      </x:c>
      <x:c r="C7" s="31" t="n">
        <x:v>46251</x:v>
      </x:c>
      <x:c r="D7" s="31" t="n">
        <x:v>46262</x:v>
      </x:c>
      <x:c r="E7" s="26" t="n">
        <x:f>IF(OR(C7="",D7=""),"",D7-C7+1)</x:f>
        <x:v>12</x:v>
      </x:c>
      <x:c r="F7" s="26" t="str">
        <x:v>A synthetic-only private shell can coexist with current services, recover, upgrade, and roll back.</x:v>
      </x:c>
      <x:c r="G7" s="26" t="str">
        <x:v>Owner access/denial, sanitized capacity and non-regression evidence, encrypted synthetic restore, and rollback proof.</x:v>
      </x:c>
      <x:c r="H7" s="26" t="str">
        <x:v>P0 accepted</x:v>
      </x:c>
      <x:c r="I7" s="26" t="str">
        <x:v>Estimate; evidence gates control</x:v>
      </x:c>
    </x:row>
    <x:row r="8" ht="62" customHeight="1">
      <x:c r="A8" s="37" t="str">
        <x:v>R1</x:v>
      </x:c>
      <x:c r="B8" s="26" t="str">
        <x:v>Manual Journal Archive</x:v>
      </x:c>
      <x:c r="C8" s="31" t="n">
        <x:v>46265</x:v>
      </x:c>
      <x:c r="D8" s="31" t="n">
        <x:v>46283</x:v>
      </x:c>
      <x:c r="E8" s="26" t="n">
        <x:f>IF(OR(C8="",D8=""),"",D8-C8+1)</x:f>
        <x:v>19</x:v>
      </x:c>
      <x:c r="F8" s="26" t="str">
        <x:v>First memory-creating release: explicit-date text upload, Calendar, and Journal Day recall.</x:v>
      </x:c>
      <x:c r="G8" s="26" t="str">
        <x:v>An owner-approved text fixture survives ingestion, restart, backup, restore, and export/checksum validation.</x:v>
      </x:c>
      <x:c r="H8" s="26" t="str">
        <x:v>R0 accepted</x:v>
      </x:c>
      <x:c r="I8" s="26" t="str">
        <x:v>Estimate; evidence gates control</x:v>
      </x:c>
    </x:row>
    <x:row r="9" ht="62" customHeight="1">
      <x:c r="A9" s="37" t="str">
        <x:v>R2</x:v>
      </x:c>
      <x:c r="B9" s="26" t="str">
        <x:v>Telegram Photo Capture</x:v>
      </x:c>
      <x:c r="C9" s="31" t="n">
        <x:v>46286</x:v>
      </x:c>
      <x:c r="D9" s="31" t="n">
        <x:v>46304</x:v>
      </x:c>
      <x:c r="E9" s="26" t="n">
        <x:f>IF(OR(C9="",D9=""),"",D9-C9+1)</x:f>
        <x:v>19</x:v>
      </x:c>
      <x:c r="F9" s="26" t="str">
        <x:v>Authorized durable photo capture with review-safe dating, gallery, cover, duplicates, and privacy-safe derivatives.</x:v>
      </x:c>
      <x:c r="G9" s="26" t="str">
        <x:v>Authorization, invalid media/date, album, duplicate, cover, Original, privacy, backup, and restore fixtures pass.</x:v>
      </x:c>
      <x:c r="H9" s="26" t="str">
        <x:v>R1 accepted</x:v>
      </x:c>
      <x:c r="I9" s="26" t="str">
        <x:v>Estimate; evidence gates control</x:v>
      </x:c>
    </x:row>
    <x:row r="10" ht="62" customHeight="1">
      <x:c r="A10" s="37" t="str">
        <x:v>R3</x:v>
      </x:c>
      <x:c r="B10" s="26" t="str">
        <x:v>Retrieval and Date Integrity</x:v>
      </x:c>
      <x:c r="C10" s="31" t="n">
        <x:v>46307</x:v>
      </x:c>
      <x:c r="D10" s="31" t="n">
        <x:v>46325</x:v>
      </x:c>
      <x:c r="E10" s="26" t="n">
        <x:f>IF(OR(C10="",D10=""),"",D10-C10+1)</x:f>
        <x:v>19</x:v>
      </x:c>
      <x:c r="F10" s="26" t="str">
        <x:v>Cross-month browsing, deterministic search, Needs Date Review, and atomic source redating.</x:v>
      </x:c>
      <x:c r="G10" s="26" t="str">
        <x:v>Known queries work without leakage and a redated item updates both days and restored indexes atomically.</x:v>
      </x:c>
      <x:c r="H10" s="26" t="str">
        <x:v>R2 accepted</x:v>
      </x:c>
      <x:c r="I10" s="26" t="str">
        <x:v>Estimate; evidence gates control</x:v>
      </x:c>
    </x:row>
    <x:row r="11" ht="62" customHeight="1">
      <x:c r="A11" s="37" t="str">
        <x:v>R4</x:v>
      </x:c>
      <x:c r="B11" s="26" t="str">
        <x:v>Source History and Lifecycle Safety</x:v>
      </x:c>
      <x:c r="C11" s="31" t="n">
        <x:v>46328</x:v>
      </x:c>
      <x:c r="D11" s="31" t="n">
        <x:v>46346</x:v>
      </x:c>
      <x:c r="E11" s="26" t="n">
        <x:f>IF(OR(C11="",D11=""),"",D11-C11+1)</x:f>
        <x:v>19</x:v>
      </x:c>
      <x:c r="F11" s="26" t="str">
        <x:v>Corrections, upstream conflicts, History, Trash, suppressions, and complete restorable export.</x:v>
      </x:c>
      <x:c r="G11" s="26" t="str">
        <x:v>Three conflict outcomes and delete/restore/export/import invariants pass across every existing data shape.</x:v>
      </x:c>
      <x:c r="H11" s="26" t="str">
        <x:v>R3 accepted</x:v>
      </x:c>
      <x:c r="I11" s="26" t="str">
        <x:v>Estimate; evidence gates control</x:v>
      </x:c>
    </x:row>
    <x:row r="12" ht="62" customHeight="1">
      <x:c r="A12" s="37" t="str">
        <x:v>R5</x:v>
      </x:c>
      <x:c r="B12" s="26" t="str">
        <x:v>Prospective VoiceNotes Sync</x:v>
      </x:c>
      <x:c r="C12" s="31" t="n">
        <x:v>46349</x:v>
      </x:c>
      <x:c r="D12" s="31" t="n">
        <x:v>46367</x:v>
      </x:c>
      <x:c r="E12" s="26" t="n">
        <x:f>IF(OR(C12="",D12=""),"",D12-C12+1)</x:f>
        <x:v>19</x:v>
      </x:c>
      <x:c r="F12" s="26" t="str">
        <x:v>Spike-proven, prospective-only VoiceNotes retrieval and replay-safe reconciliation.</x:v>
      </x:c>
      <x:c r="G12" s="26" t="str">
        <x:v>Synthetic contract, activation, eligibility, dating, replay, suppression, upstream revision, and restore gates pass.</x:v>
      </x:c>
      <x:c r="H12" s="26" t="str">
        <x:v>R4 accepted and VoiceNotes synthetic contract spike passes</x:v>
      </x:c>
      <x:c r="I12" s="26" t="str">
        <x:v>Estimate; evidence gates control</x:v>
      </x:c>
    </x:row>
    <x:row r="13" ht="62" customHeight="1">
      <x:c r="A13" s="37" t="str">
        <x:v>R6</x:v>
      </x:c>
      <x:c r="B13" s="26" t="str">
        <x:v>Generated Text Reflection</x:v>
      </x:c>
      <x:c r="C13" s="31" t="n">
        <x:v>46370</x:v>
      </x:c>
      <x:c r="D13" s="31" t="n">
        <x:v>46395</x:v>
      </x:c>
      <x:c r="E13" s="26" t="n">
        <x:f>IF(OR(C13="",D13=""),"",D13-C13+1)</x:f>
        <x:v>26</x:v>
      </x:c>
      <x:c r="F13" s="26" t="str">
        <x:v>Optional evaluated titles, summaries, tags, and Visual Briefs with protection, provenance, and budget enforcement.</x:v>
      </x:c>
      <x:c r="G13" s="26" t="str">
        <x:v>Evaluation, typed privacy allowlist, field protection, source-race, failure, spend, and restore gates pass.</x:v>
      </x:c>
      <x:c r="H13" s="26" t="str">
        <x:v>R5 accepted and text-model evaluation passes</x:v>
      </x:c>
      <x:c r="I13" s="26" t="str">
        <x:v>Estimate; evidence gates control</x:v>
      </x:c>
    </x:row>
    <x:row r="14" ht="62" customHeight="1">
      <x:c r="A14" s="37" t="str">
        <x:v>R7</x:v>
      </x:c>
      <x:c r="B14" s="26" t="str">
        <x:v>Generated Artwork</x:v>
      </x:c>
      <x:c r="C14" s="31" t="n">
        <x:v>46398</x:v>
      </x:c>
      <x:c r="D14" s="31" t="n">
        <x:v>46416</x:v>
      </x:c>
      <x:c r="E14" s="26" t="n">
        <x:f>IF(OR(C14="",D14=""),"",D14-C14+1)</x:f>
        <x:v>19</x:v>
      </x:c>
      <x:c r="F14" s="26" t="str">
        <x:v>Optional evaluated symbolic artwork with explicit preflight, versions, suppression, and real-photo cover precedence.</x:v>
      </x:c>
      <x:c r="G14" s="26" t="str">
        <x:v>Evaluation, safety, cost, lifecycle, labeling, privacy, cover, and restore gates pass.</x:v>
      </x:c>
      <x:c r="H14" s="26" t="str">
        <x:v>R6 accepted and artwork-model evaluation passes</x:v>
      </x:c>
      <x:c r="I14" s="26" t="str">
        <x:v>Estimate; evidence gates control</x:v>
      </x:c>
    </x:row>
    <x:row r="15" ht="62" customHeight="1">
      <x:c r="A15" s="37" t="str">
        <x:v>R8</x:v>
      </x:c>
      <x:c r="B15" s="26" t="str">
        <x:v>Operational Scale and Resilience</x:v>
      </x:c>
      <x:c r="C15" s="31" t="n">
        <x:v>46419</x:v>
      </x:c>
      <x:c r="D15" s="31" t="n">
        <x:v>46437</x:v>
      </x:c>
      <x:c r="E15" s="26" t="n">
        <x:f>IF(OR(C15="",D15=""),"",D15-C15+1)</x:f>
        <x:v>19</x:v>
      </x:c>
      <x:c r="F15" s="26" t="str">
        <x:v>The integrated archive degrades safely under dependency, capacity, restart, and job failures.</x:v>
      </x:c>
      <x:c r="G15" s="26" t="str">
        <x:v>Watermark, restart, alert, fault, backup/restore, security, browser, and accessibility evidence passes.</x:v>
      </x:c>
      <x:c r="H15" s="26" t="str">
        <x:v>R0 through R7 accepted</x:v>
      </x:c>
      <x:c r="I15" s="26" t="str">
        <x:v>Estimate; evidence gates control</x:v>
      </x:c>
    </x:row>
    <x:row r="16" ht="62" customHeight="1">
      <x:c r="A16" s="37" t="str">
        <x:v>R9</x:v>
      </x:c>
      <x:c r="B16" s="26" t="str">
        <x:v>Private Launch Acceptance and Stabilization</x:v>
      </x:c>
      <x:c r="C16" s="31" t="n">
        <x:v>46440</x:v>
      </x:c>
      <x:c r="D16" s="31" t="n">
        <x:v>46458</x:v>
      </x:c>
      <x:c r="E16" s="26" t="n">
        <x:f>IF(OR(C16="",D16=""),"",D16-C16+1)</x:f>
        <x:v>19</x:v>
      </x:c>
      <x:c r="F16" s="26" t="str">
        <x:v>The complete private archive is owner-accepted for routine personal use and stabilized without new scope.</x:v>
      </x:c>
      <x:c r="G16" s="26" t="str">
        <x:v>Owner UAT, Recovery Ceremony, observation window, severity gate, and go/no-go or rollback record pass.</x:v>
      </x:c>
      <x:c r="H16" s="26" t="str">
        <x:v>R8 accepted and explicit launch authority</x:v>
      </x:c>
      <x:c r="I16" s="26" t="str">
        <x:v>Estimate; evidence gates control</x:v>
      </x:c>
    </x:row>
    <x:row r="17" ht="62" customHeight="1">
      <x:c r="A17" s="37" t="str">
        <x:v>R10</x:v>
      </x:c>
      <x:c r="B17" s="26" t="str">
        <x:v>Conditional Object-store Transition</x:v>
      </x:c>
      <x:c r="C17" s="31"/>
      <x:c r="D17" s="31"/>
      <x:c r="E17" s="26" t="str">
        <x:f>IF(OR(C17="",D17=""),"",D17-C17+1)</x:f>
      </x:c>
      <x:c r="F17" s="26" t="str">
        <x:v>Live encrypted media moves only after approved local-capacity watermarks trigger a reversible transition.</x:v>
      </x:c>
      <x:c r="G17" s="26" t="str">
        <x:v>Trigger, inventory, dual-write, reconciliation, restore, observed reads, cutover, and rollback gates pass.</x:v>
      </x:c>
      <x:c r="H17" s="26" t="str">
        <x:v>Measured storage trigger; no calendar commitment</x:v>
      </x:c>
      <x:c r="I17" s="26" t="str">
        <x:v>Trigger-only; no commitment</x:v>
      </x:c>
    </x:row>
  </x:sheetData>
  <x:mergeCells>
    <x:mergeCell ref="A1:I2"/>
    <x:mergeCell ref="A3:I3"/>
  </x:mergeCells>
  <x:pageMargins left="0.7" right="0.7" top="0.75" bottom="0.75" header="0.3" footer="0.3"/>
  <x:tableParts count="1">
    <x:tablePart xmlns:r="http://schemas.openxmlformats.org/officeDocument/2006/relationships" r:id="R1e792898ad7840a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14" hidden="0" customWidth="1"/>
    <x:col min="4" max="4" width="11" hidden="0" customWidth="1"/>
    <x:col min="5" max="5" width="19" hidden="0" customWidth="1"/>
    <x:col min="6" max="6" width="28" hidden="0" customWidth="1"/>
    <x:col min="7" max="7" width="11" hidden="0" customWidth="1"/>
    <x:col min="8" max="8" width="13" hidden="0" customWidth="1"/>
    <x:col min="9" max="9" width="13" hidden="0" customWidth="1"/>
    <x:col min="10" max="10" width="8" hidden="0" customWidth="1"/>
    <x:col min="11" max="11" width="38" hidden="0" customWidth="1"/>
    <x:col min="12" max="12" width="27" hidden="0" customWidth="1"/>
    <x:col min="13" max="13" width="42" hidden="0" customWidth="1"/>
    <x:col min="14" max="14" width="42" hidden="0" customWidth="1"/>
    <x:col min="15" max="15" width="42" hidden="0" customWidth="1"/>
    <x:col min="16" max="16" width="48" hidden="0" customWidth="1"/>
    <x:col min="17" max="17" width="52" hidden="0" customWidth="1"/>
    <x:col min="18" max="18" width="52" hidden="0" customWidth="1"/>
    <x:col min="19" max="19" width="52" hidden="0" customWidth="1"/>
    <x:col min="20" max="20" width="28" hidden="0" customWidth="1"/>
  </x:cols>
  <x:sheetData>
    <x:row r="1" ht="28" customHeight="1">
      <x:c r="A1" s="5" t="str">
        <x:v>Detailed Roadmap Tasks — 58 Work Packages</x:v>
      </x:c>
      <x:c r="B1" s="5" t="str">
        <x:v>Detailed Roadmap Tasks — 58 Work Packages</x:v>
      </x:c>
      <x:c r="C1" s="5" t="str">
        <x:v>Detailed Roadmap Tasks — 58 Work Packages</x:v>
      </x:c>
      <x:c r="D1" s="5" t="str">
        <x:v>Detailed Roadmap Tasks — 58 Work Packages</x:v>
      </x:c>
      <x:c r="E1" s="5" t="str">
        <x:v>Detailed Roadmap Tasks — 58 Work Packages</x:v>
      </x:c>
      <x:c r="F1" s="5" t="str">
        <x:v>Detailed Roadmap Tasks — 58 Work Packages</x:v>
      </x:c>
      <x:c r="G1" s="5" t="str">
        <x:v>Detailed Roadmap Tasks — 58 Work Packages</x:v>
      </x:c>
      <x:c r="H1" s="5" t="str">
        <x:v>Detailed Roadmap Tasks — 58 Work Packages</x:v>
      </x:c>
      <x:c r="I1" s="5" t="str">
        <x:v>Detailed Roadmap Tasks — 58 Work Packages</x:v>
      </x:c>
      <x:c r="J1" s="5" t="str">
        <x:v>Detailed Roadmap Tasks — 58 Work Packages</x:v>
      </x:c>
      <x:c r="K1" s="5" t="str">
        <x:v>Detailed Roadmap Tasks — 58 Work Packages</x:v>
      </x:c>
      <x:c r="L1" s="5" t="str">
        <x:v>Detailed Roadmap Tasks — 58 Work Packages</x:v>
      </x:c>
      <x:c r="M1" s="5" t="str">
        <x:v>Detailed Roadmap Tasks — 58 Work Packages</x:v>
      </x:c>
      <x:c r="N1" s="5" t="str">
        <x:v>Detailed Roadmap Tasks — 58 Work Packages</x:v>
      </x:c>
      <x:c r="O1" s="5" t="str">
        <x:v>Detailed Roadmap Tasks — 58 Work Packages</x:v>
      </x:c>
      <x:c r="P1" s="5" t="str">
        <x:v>Detailed Roadmap Tasks — 58 Work Packages</x:v>
      </x:c>
      <x:c r="Q1" s="5" t="str">
        <x:v>Detailed Roadmap Tasks — 58 Work Packages</x:v>
      </x:c>
      <x:c r="R1" s="5" t="str">
        <x:v>Detailed Roadmap Tasks — 58 Work Packages</x:v>
      </x:c>
      <x:c r="S1" s="5" t="str">
        <x:v>Detailed Roadmap Tasks — 58 Work Packages</x:v>
      </x:c>
      <x:c r="T1" s="5" t="str">
        <x:v>Detailed Roadmap Tasks — 58 Work Packages</x:v>
      </x:c>
    </x:row>
    <x:row r="2" ht="28" customHeight="1">
      <x:c r="A2" s="5" t="str">
        <x:v>Detailed Roadmap Tasks — 58 Work Packages</x:v>
      </x:c>
      <x:c r="B2" s="5" t="str">
        <x:v>Detailed Roadmap Tasks — 58 Work Packages</x:v>
      </x:c>
      <x:c r="C2" s="5" t="str">
        <x:v>Detailed Roadmap Tasks — 58 Work Packages</x:v>
      </x:c>
      <x:c r="D2" s="5" t="str">
        <x:v>Detailed Roadmap Tasks — 58 Work Packages</x:v>
      </x:c>
      <x:c r="E2" s="5" t="str">
        <x:v>Detailed Roadmap Tasks — 58 Work Packages</x:v>
      </x:c>
      <x:c r="F2" s="5" t="str">
        <x:v>Detailed Roadmap Tasks — 58 Work Packages</x:v>
      </x:c>
      <x:c r="G2" s="5" t="str">
        <x:v>Detailed Roadmap Tasks — 58 Work Packages</x:v>
      </x:c>
      <x:c r="H2" s="5" t="str">
        <x:v>Detailed Roadmap Tasks — 58 Work Packages</x:v>
      </x:c>
      <x:c r="I2" s="5" t="str">
        <x:v>Detailed Roadmap Tasks — 58 Work Packages</x:v>
      </x:c>
      <x:c r="J2" s="5" t="str">
        <x:v>Detailed Roadmap Tasks — 58 Work Packages</x:v>
      </x:c>
      <x:c r="K2" s="5" t="str">
        <x:v>Detailed Roadmap Tasks — 58 Work Packages</x:v>
      </x:c>
      <x:c r="L2" s="5" t="str">
        <x:v>Detailed Roadmap Tasks — 58 Work Packages</x:v>
      </x:c>
      <x:c r="M2" s="5" t="str">
        <x:v>Detailed Roadmap Tasks — 58 Work Packages</x:v>
      </x:c>
      <x:c r="N2" s="5" t="str">
        <x:v>Detailed Roadmap Tasks — 58 Work Packages</x:v>
      </x:c>
      <x:c r="O2" s="5" t="str">
        <x:v>Detailed Roadmap Tasks — 58 Work Packages</x:v>
      </x:c>
      <x:c r="P2" s="5" t="str">
        <x:v>Detailed Roadmap Tasks — 58 Work Packages</x:v>
      </x:c>
      <x:c r="Q2" s="5" t="str">
        <x:v>Detailed Roadmap Tasks — 58 Work Packages</x:v>
      </x:c>
      <x:c r="R2" s="5" t="str">
        <x:v>Detailed Roadmap Tasks — 58 Work Packages</x:v>
      </x:c>
      <x:c r="S2" s="5" t="str">
        <x:v>Detailed Roadmap Tasks — 58 Work Packages</x:v>
      </x:c>
      <x:c r="T2" s="5" t="str">
        <x:v>Detailed Roadmap Tasks — 58 Work Packages</x:v>
      </x:c>
    </x:row>
    <x:row r="3" ht="34" customHeight="1">
      <x:c r="A3" s="14" t="str">
        <x:v>The same stable task IDs are used in the Markdown plan, workbook, repository issues, and live GitHub Project. Done on a planning item never implies feature implementation or deployment.</x:v>
      </x:c>
      <x:c r="B3" s="15" t="str">
        <x:v>The same stable task IDs are used in the Markdown plan, workbook, repository issues, and live GitHub Project. Done on a planning item never implies feature implementation or deployment.</x:v>
      </x:c>
      <x:c r="C3" s="15" t="str">
        <x:v>The same stable task IDs are used in the Markdown plan, workbook, repository issues, and live GitHub Project. Done on a planning item never implies feature implementation or deployment.</x:v>
      </x:c>
      <x:c r="D3" s="15" t="str">
        <x:v>The same stable task IDs are used in the Markdown plan, workbook, repository issues, and live GitHub Project. Done on a planning item never implies feature implementation or deployment.</x:v>
      </x:c>
      <x:c r="E3" s="15" t="str">
        <x:v>The same stable task IDs are used in the Markdown plan, workbook, repository issues, and live GitHub Project. Done on a planning item never implies feature implementation or deployment.</x:v>
      </x:c>
      <x:c r="F3" s="15" t="str">
        <x:v>The same stable task IDs are used in the Markdown plan, workbook, repository issues, and live GitHub Project. Done on a planning item never implies feature implementation or deployment.</x:v>
      </x:c>
      <x:c r="G3" s="15" t="str">
        <x:v>The same stable task IDs are used in the Markdown plan, workbook, repository issues, and live GitHub Project. Done on a planning item never implies feature implementation or deployment.</x:v>
      </x:c>
      <x:c r="H3" s="15" t="str">
        <x:v>The same stable task IDs are used in the Markdown plan, workbook, repository issues, and live GitHub Project. Done on a planning item never implies feature implementation or deployment.</x:v>
      </x:c>
      <x:c r="I3" s="15" t="str">
        <x:v>The same stable task IDs are used in the Markdown plan, workbook, repository issues, and live GitHub Project. Done on a planning item never implies feature implementation or deployment.</x:v>
      </x:c>
      <x:c r="J3" s="15" t="str">
        <x:v>The same stable task IDs are used in the Markdown plan, workbook, repository issues, and live GitHub Project. Done on a planning item never implies feature implementation or deployment.</x:v>
      </x:c>
      <x:c r="K3" s="15" t="str">
        <x:v>The same stable task IDs are used in the Markdown plan, workbook, repository issues, and live GitHub Project. Done on a planning item never implies feature implementation or deployment.</x:v>
      </x:c>
      <x:c r="L3" s="15" t="str">
        <x:v>The same stable task IDs are used in the Markdown plan, workbook, repository issues, and live GitHub Project. Done on a planning item never implies feature implementation or deployment.</x:v>
      </x:c>
      <x:c r="M3" s="15" t="str">
        <x:v>The same stable task IDs are used in the Markdown plan, workbook, repository issues, and live GitHub Project. Done on a planning item never implies feature implementation or deployment.</x:v>
      </x:c>
      <x:c r="N3" s="15" t="str">
        <x:v>The same stable task IDs are used in the Markdown plan, workbook, repository issues, and live GitHub Project. Done on a planning item never implies feature implementation or deployment.</x:v>
      </x:c>
      <x:c r="O3" s="15" t="str">
        <x:v>The same stable task IDs are used in the Markdown plan, workbook, repository issues, and live GitHub Project. Done on a planning item never implies feature implementation or deployment.</x:v>
      </x:c>
      <x:c r="P3" s="15" t="str">
        <x:v>The same stable task IDs are used in the Markdown plan, workbook, repository issues, and live GitHub Project. Done on a planning item never implies feature implementation or deployment.</x:v>
      </x:c>
      <x:c r="Q3" s="15" t="str">
        <x:v>The same stable task IDs are used in the Markdown plan, workbook, repository issues, and live GitHub Project. Done on a planning item never implies feature implementation or deployment.</x:v>
      </x:c>
      <x:c r="R3" s="15" t="str">
        <x:v>The same stable task IDs are used in the Markdown plan, workbook, repository issues, and live GitHub Project. Done on a planning item never implies feature implementation or deployment.</x:v>
      </x:c>
      <x:c r="S3" s="15" t="str">
        <x:v>The same stable task IDs are used in the Markdown plan, workbook, repository issues, and live GitHub Project. Done on a planning item never implies feature implementation or deployment.</x:v>
      </x:c>
      <x:c r="T3" s="16" t="str">
        <x:v>The same stable task IDs are used in the Markdown plan, workbook, repository issues, and live GitHub Project. Done on a planning item never implies feature implementation or deployment.</x:v>
      </x:c>
    </x:row>
    <x:row r="5" ht="30" customHeight="1">
      <x:c r="A5" s="22" t="str">
        <x:v>ID</x:v>
      </x:c>
      <x:c r="B5" s="22" t="str">
        <x:v>Title</x:v>
      </x:c>
      <x:c r="C5" s="22" t="str">
        <x:v>Status</x:v>
      </x:c>
      <x:c r="D5" s="22" t="str">
        <x:v>Milestone</x:v>
      </x:c>
      <x:c r="E5" s="22" t="str">
        <x:v>Type</x:v>
      </x:c>
      <x:c r="F5" s="22" t="str">
        <x:v>Owner role</x:v>
      </x:c>
      <x:c r="G5" s="22" t="str">
        <x:v>Priority</x:v>
      </x:c>
      <x:c r="H5" s="22" t="str">
        <x:v>Start</x:v>
      </x:c>
      <x:c r="I5" s="22" t="str">
        <x:v>Target</x:v>
      </x:c>
      <x:c r="J5" s="22" t="str">
        <x:v>Days</x:v>
      </x:c>
      <x:c r="K5" s="22" t="str">
        <x:v>Requirement IDs</x:v>
      </x:c>
      <x:c r="L5" s="22" t="str">
        <x:v>Dependencies</x:v>
      </x:c>
      <x:c r="M5" s="22" t="str">
        <x:v>PRD / PID link</x:v>
      </x:c>
      <x:c r="N5" s="22" t="str">
        <x:v>Design artifact link</x:v>
      </x:c>
      <x:c r="O5" s="22" t="str">
        <x:v>Architecture link</x:v>
      </x:c>
      <x:c r="P5" s="22" t="str">
        <x:v>Description</x:v>
      </x:c>
      <x:c r="Q5" s="22" t="str">
        <x:v>Acceptance evidence</x:v>
      </x:c>
      <x:c r="R5" s="22" t="str">
        <x:v>Rollback / restore impact</x:v>
      </x:c>
      <x:c r="S5" s="22" t="str">
        <x:v>Done meaning</x:v>
      </x:c>
      <x:c r="T5" s="22" t="str">
        <x:v>GitHub issue</x:v>
      </x:c>
    </x:row>
    <x:row r="6" ht="78" customHeight="1">
      <x:c r="A6" s="26" t="str">
        <x:v>AUD-001</x:v>
      </x:c>
      <x:c r="B6" s="26" t="str">
        <x:v>v5 Feature Audit</x:v>
      </x:c>
      <x:c r="C6" s="26" t="str">
        <x:v>Done</x:v>
      </x:c>
      <x:c r="D6" s="26" t="str">
        <x:v>P0</x:v>
      </x:c>
      <x:c r="E6" s="26" t="str">
        <x:v>Audit</x:v>
      </x:c>
      <x:c r="F6" s="26" t="str">
        <x:v>Product Manager + UI/UX Designer</x:v>
      </x:c>
      <x:c r="G6" s="26" t="str">
        <x:v>High</x:v>
      </x:c>
      <x:c r="H6" s="31" t="n">
        <x:v>46248</x:v>
      </x:c>
      <x:c r="I6" s="31" t="n">
        <x:v>46248</x:v>
      </x:c>
      <x:c r="J6" s="26" t="n">
        <x:f>IF(OR(H6="",I6=""),"",I6-H6+1)</x:f>
        <x:v>1</x:v>
      </x:c>
      <x:c r="K6" s="26" t="str"/>
      <x:c r="L6" s="26" t="str"/>
      <x:c r="M6" s="26" t="str">
        <x:v>https://github.com/arunpr614/Life-Reflection/blob/main/docs/product/PRODUCT-REQUIREMENTS.md</x:v>
      </x:c>
      <x:c r="N6" s="26" t="str">
        <x:v>https://github.com/arunpr614/Life-Reflection/blob/main/docs/council/UX-DESIGN-REVIEW.md</x:v>
      </x:c>
      <x:c r="O6" s="26" t="str">
        <x:v>https://github.com/arunpr614/Life-Reflection/blob/main/docs/architecture/PHASE1-IMPLEMENTATION-PLAN.md</x:v>
      </x:c>
      <x:c r="P6" s="26" t="str">
        <x:v>Classify every v5 interaction as strong, partial, missing, or outside implementation evidence.</x:v>
      </x:c>
      <x:c r="Q6" s="26" t="str">
        <x:v>Published v5 feature audit with a source hash and requirement-by-requirement evidence classification.</x:v>
      </x:c>
      <x:c r="R6" s="26" t="str">
        <x:v>Planning evidence only; no production data mutation. Any later implementation still needs its own migration, restore, and rollback proof.</x:v>
      </x:c>
      <x:c r="S6" s="26" t="str">
        <x:v>This planning artifact is complete; it does not claim feature implementation, deployment, production readiness, or release acceptance.</x:v>
      </x:c>
      <x:c r="T6" s="26" t="str">
        <x:v>https://github.com/arunpr614/Life-Reflection/issues/2</x:v>
      </x:c>
    </x:row>
    <x:row r="7" ht="78" customHeight="1">
      <x:c r="A7" s="26" t="str">
        <x:v>PC-001</x:v>
      </x:c>
      <x:c r="B7" s="26" t="str">
        <x:v>Integrated Council Planning Package</x:v>
      </x:c>
      <x:c r="C7" s="26" t="str">
        <x:v>Done</x:v>
      </x:c>
      <x:c r="D7" s="26" t="str">
        <x:v>P0</x:v>
      </x:c>
      <x:c r="E7" s="26" t="str">
        <x:v>Planning</x:v>
      </x:c>
      <x:c r="F7" s="26" t="str">
        <x:v>Project Manager</x:v>
      </x:c>
      <x:c r="G7" s="26" t="str">
        <x:v>High</x:v>
      </x:c>
      <x:c r="H7" s="31" t="n">
        <x:v>46248</x:v>
      </x:c>
      <x:c r="I7" s="31" t="n">
        <x:v>46250</x:v>
      </x:c>
      <x:c r="J7" s="26" t="n">
        <x:f>IF(OR(H7="",I7=""),"",I7-H7+1)</x:f>
        <x:v>3</x:v>
      </x:c>
      <x:c r="K7" s="26" t="str"/>
      <x:c r="L7" s="26" t="str">
        <x:v>AUD-001</x:v>
      </x:c>
      <x:c r="M7" s="26" t="str">
        <x:v>https://github.com/arunpr614/Life-Reflection/blob/main/docs/product/PRODUCT-REQUIREMENTS.md</x:v>
      </x:c>
      <x:c r="N7" s="26" t="str">
        <x:v>https://github.com/arunpr614/Life-Reflection/blob/main/docs/council/UX-DESIGN-REVIEW.md</x:v>
      </x:c>
      <x:c r="O7" s="26" t="str">
        <x:v>https://github.com/arunpr614/Life-Reflection/blob/main/docs/architecture/PHASE1-IMPLEMENTATION-PLAN.md</x:v>
      </x:c>
      <x:c r="P7" s="26" t="str">
        <x:v>Reconcile Product, Design, Architecture, and Project Management decisions into one delivery baseline.</x:v>
      </x:c>
      <x:c r="Q7" s="26" t="str">
        <x:v>All four council reviews, decision record, 58-task manifest, validated workbook, and live roadmap reconcile.</x:v>
      </x:c>
      <x:c r="R7" s="26" t="str">
        <x:v>Planning evidence only; no production data mutation. Any later implementation still needs its own migration, restore, and rollback proof.</x:v>
      </x:c>
      <x:c r="S7" s="26" t="str">
        <x:v>This planning artifact is complete; it does not claim feature implementation, deployment, production readiness, or release acceptance.</x:v>
      </x:c>
      <x:c r="T7" s="26" t="str">
        <x:v>https://github.com/arunpr614/Life-Reflection/issues/3</x:v>
      </x:c>
    </x:row>
    <x:row r="8" ht="78" customHeight="1">
      <x:c r="A8" s="26" t="str">
        <x:v>SPK-R0-001</x:v>
      </x:c>
      <x:c r="B8" s="26" t="str">
        <x:v>Shared-host Coexistence &amp; Rollback Spike</x:v>
      </x:c>
      <x:c r="C8" s="26" t="str">
        <x:v>In progress</x:v>
      </x:c>
      <x:c r="D8" s="26" t="str">
        <x:v>R0</x:v>
      </x:c>
      <x:c r="E8" s="26" t="str">
        <x:v>Spike</x:v>
      </x:c>
      <x:c r="F8" s="26" t="str">
        <x:v>Technical Architect</x:v>
      </x:c>
      <x:c r="G8" s="26" t="str">
        <x:v>High</x:v>
      </x:c>
      <x:c r="H8" s="31" t="n">
        <x:v>46251</x:v>
      </x:c>
      <x:c r="I8" s="31" t="n">
        <x:v>46253</x:v>
      </x:c>
      <x:c r="J8" s="26" t="n">
        <x:f>IF(OR(H8="",I8=""),"",I8-H8+1)</x:f>
        <x:v>3</x:v>
      </x:c>
      <x:c r="K8" s="26" t="str">
        <x:v>LID-SCP-001, LID-OPS-001, LID-OPS-002, LID-OPS-003, LID-OPS-004, LID-OPS-008, LID-OPS-011, LID-OPS-012, LID-OPS-014, LID-OPS-016, LID-OPS-018</x:v>
      </x:c>
      <x:c r="L8" s="26" t="str">
        <x:v>PC-001</x:v>
      </x:c>
      <x:c r="M8" s="26" t="str">
        <x:v>https://github.com/arunpr614/Life-Reflection/blob/main/docs/product/releases/PRD-R0-SHARED-HOST-PRIVATE-FOUNDATION.md</x:v>
      </x:c>
      <x:c r="N8" s="26" t="str">
        <x:v>https://github.com/arunpr614/Life-Reflection/blob/main/docs/council/UX-DESIGN-REVIEW.md</x:v>
      </x:c>
      <x:c r="O8" s="26" t="str">
        <x:v>https://github.com/arunpr614/Life-Reflection/blob/main/docs/architecture/PHASE1-IMPLEMENTATION-PLAN.md</x:v>
      </x:c>
      <x:c r="P8" s="26" t="str">
        <x:v>Prove namespaced shared-host fit with synthetic data, explicit capacity assumptions, non-regression, restore, and rollback.</x:v>
      </x:c>
      <x:c r="Q8" s="26" t="str">
        <x:v>Research report plus sanitized live host capacity/topology, collision, restart, backup/restore, rollback, and co-resident non-regression evidence.</x:v>
      </x:c>
      <x:c r="R8" s="26" t="str">
        <x:v>No personal-data mutation is authorized by this task; it must define or prove reversible deployment and recovery before dependent implementation.</x:v>
      </x:c>
      <x:c r="S8" s="26" t="str">
        <x:v>Move to Done only when the named task evidence exists; prototype or document intent cannot prove implementation or release completion.</x:v>
      </x:c>
      <x:c r="T8" s="26" t="str">
        <x:v>https://github.com/arunpr614/Life-Reflection/issues/4</x:v>
      </x:c>
    </x:row>
    <x:row r="9" ht="78" customHeight="1">
      <x:c r="A9" s="26" t="str">
        <x:v>PRD-R0-001</x:v>
      </x:c>
      <x:c r="B9" s="26" t="str">
        <x:v>Private Foundation PRD</x:v>
      </x:c>
      <x:c r="C9" s="26" t="str">
        <x:v>Done</x:v>
      </x:c>
      <x:c r="D9" s="26" t="str">
        <x:v>R0</x:v>
      </x:c>
      <x:c r="E9" s="26" t="str">
        <x:v>Product definition</x:v>
      </x:c>
      <x:c r="F9" s="26" t="str">
        <x:v>Product Manager</x:v>
      </x:c>
      <x:c r="G9" s="26" t="str">
        <x:v>High</x:v>
      </x:c>
      <x:c r="H9" s="31" t="n">
        <x:v>46251</x:v>
      </x:c>
      <x:c r="I9" s="31" t="n">
        <x:v>46254</x:v>
      </x:c>
      <x:c r="J9" s="26" t="n">
        <x:f>IF(OR(H9="",I9=""),"",I9-H9+1)</x:f>
        <x:v>4</x:v>
      </x:c>
      <x:c r="K9" s="26" t="str">
        <x:v>LID-SCP-001, LID-OPS-001, LID-OPS-002, LID-OPS-003, LID-OPS-004, LID-OPS-008, LID-OPS-011, LID-OPS-012, LID-OPS-014, LID-OPS-016, LID-OPS-018</x:v>
      </x:c>
      <x:c r="L9" s="26" t="str">
        <x:v>PC-001</x:v>
      </x:c>
      <x:c r="M9" s="26" t="str">
        <x:v>https://github.com/arunpr614/Life-Reflection/blob/main/docs/product/releases/PRD-R0-SHARED-HOST-PRIVATE-FOUNDATION.md</x:v>
      </x:c>
      <x:c r="N9" s="26" t="str">
        <x:v>https://github.com/arunpr614/Life-Reflection/blob/main/docs/council/UX-DESIGN-REVIEW.md</x:v>
      </x:c>
      <x:c r="O9" s="26" t="str">
        <x:v>https://github.com/arunpr614/Life-Reflection/blob/main/docs/architecture/PHASE1-IMPLEMENTATION-PLAN.md</x:v>
      </x:c>
      <x:c r="P9" s="26" t="str">
        <x:v>Define the synthetic-only private foundation outcome and prohibit authentic memory ingestion before R0 acceptance.</x:v>
      </x:c>
      <x:c r="Q9" s="26" t="str">
        <x:v>Release document docs/product/releases/PRD-R0-SHARED-HOST-PRIVATE-FOUNDATION.md exists, passes link/requirement validation, and states owner approval as a separate release gate.</x:v>
      </x:c>
      <x:c r="R9" s="26" t="str">
        <x:v>Planning evidence only; no production data mutation. Any later implementation still needs its own migration, restore, and rollback proof.</x:v>
      </x:c>
      <x:c r="S9" s="26" t="str">
        <x:v>This planning artifact is complete; it does not claim feature implementation, deployment, production readiness, or release acceptance.</x:v>
      </x:c>
      <x:c r="T9" s="26" t="str">
        <x:v>https://github.com/arunpr614/Life-Reflection/issues/5</x:v>
      </x:c>
    </x:row>
    <x:row r="10" ht="78" customHeight="1">
      <x:c r="A10" s="26" t="str">
        <x:v>UX-R0-001</x:v>
      </x:c>
      <x:c r="B10" s="26" t="str">
        <x:v>First-use/Access/Health States</x:v>
      </x:c>
      <x:c r="C10" s="26" t="str">
        <x:v>Next</x:v>
      </x:c>
      <x:c r="D10" s="26" t="str">
        <x:v>R0</x:v>
      </x:c>
      <x:c r="E10" s="26" t="str">
        <x:v>Design</x:v>
      </x:c>
      <x:c r="F10" s="26" t="str">
        <x:v>UI/UX Designer</x:v>
      </x:c>
      <x:c r="G10" s="26" t="str">
        <x:v>High</x:v>
      </x:c>
      <x:c r="H10" s="31" t="n">
        <x:v>46252</x:v>
      </x:c>
      <x:c r="I10" s="31" t="n">
        <x:v>46255</x:v>
      </x:c>
      <x:c r="J10" s="26" t="n">
        <x:f>IF(OR(H10="",I10=""),"",I10-H10+1)</x:f>
        <x:v>4</x:v>
      </x:c>
      <x:c r="K10" s="26" t="str">
        <x:v>LID-SCP-001, LID-OPS-001, LID-OPS-012, LID-OPS-014, LID-OPS-018</x:v>
      </x:c>
      <x:c r="L10" s="26" t="str">
        <x:v>PRD-R0-001, SPK-R0-001</x:v>
      </x:c>
      <x:c r="M10" s="26" t="str">
        <x:v>https://github.com/arunpr614/Life-Reflection/blob/main/docs/product/releases/PRD-R0-SHARED-HOST-PRIVATE-FOUNDATION.md</x:v>
      </x:c>
      <x:c r="N10" s="26" t="str">
        <x:v>https://github.com/arunpr614/Life-Reflection/blob/main/docs/council/UX-DESIGN-REVIEW.md</x:v>
      </x:c>
      <x:c r="O10" s="26" t="str">
        <x:v>https://github.com/arunpr614/Life-Reflection/blob/main/docs/architecture/PHASE1-IMPLEMENTATION-PLAN.md</x:v>
      </x:c>
      <x:c r="P10" s="26" t="str">
        <x:v>Design first use, access denial/expiry, System Health, synthetic recovery, failure, and rollback states.</x:v>
      </x:c>
      <x:c r="Q10" s="26" t="str">
        <x:v>Release-specific flows, empty/loading/error/destructive states, responsive behavior, keyboard/screen-reader notes, and design sign-off are linked.</x:v>
      </x:c>
      <x:c r="R10" s="26" t="str">
        <x:v>Planning evidence only; no production data mutation. Any later implementation still needs its own migration, restore, and rollback proof.</x:v>
      </x:c>
      <x:c r="S10" s="26" t="str">
        <x:v>Move to Done only when the named task evidence exists; prototype or document intent cannot prove implementation or release completion.</x:v>
      </x:c>
      <x:c r="T10" s="26" t="str">
        <x:v>https://github.com/arunpr614/Life-Reflection/issues/6</x:v>
      </x:c>
    </x:row>
    <x:row r="11" ht="78" customHeight="1">
      <x:c r="A11" s="26" t="str">
        <x:v>ARCH-R0-001</x:v>
      </x:c>
      <x:c r="B11" s="26" t="str">
        <x:v>Private Shell Architecture &amp; Threat Baseline</x:v>
      </x:c>
      <x:c r="C11" s="26" t="str">
        <x:v>Next</x:v>
      </x:c>
      <x:c r="D11" s="26" t="str">
        <x:v>R0</x:v>
      </x:c>
      <x:c r="E11" s="26" t="str">
        <x:v>Architecture</x:v>
      </x:c>
      <x:c r="F11" s="26" t="str">
        <x:v>Technical Architect</x:v>
      </x:c>
      <x:c r="G11" s="26" t="str">
        <x:v>High</x:v>
      </x:c>
      <x:c r="H11" s="31" t="n">
        <x:v>46251</x:v>
      </x:c>
      <x:c r="I11" s="31" t="n">
        <x:v>46255</x:v>
      </x:c>
      <x:c r="J11" s="26" t="n">
        <x:f>IF(OR(H11="",I11=""),"",I11-H11+1)</x:f>
        <x:v>5</x:v>
      </x:c>
      <x:c r="K11" s="26" t="str">
        <x:v>LID-SCP-001, LID-OPS-001, LID-OPS-002, LID-OPS-003, LID-OPS-004, LID-OPS-008, LID-OPS-011, LID-OPS-012, LID-OPS-014, LID-OPS-016, LID-OPS-018</x:v>
      </x:c>
      <x:c r="L11" s="26" t="str">
        <x:v>PRD-R0-001, SPK-R0-001</x:v>
      </x:c>
      <x:c r="M11" s="26" t="str">
        <x:v>https://github.com/arunpr614/Life-Reflection/blob/main/docs/product/releases/PRD-R0-SHARED-HOST-PRIVATE-FOUNDATION.md</x:v>
      </x:c>
      <x:c r="N11" s="26" t="str">
        <x:v>https://github.com/arunpr614/Life-Reflection/blob/main/docs/council/UX-DESIGN-REVIEW.md</x:v>
      </x:c>
      <x:c r="O11" s="26" t="str">
        <x:v>https://github.com/arunpr614/Life-Reflection/blob/main/docs/architecture/PHASE1-IMPLEMENTATION-PLAN.md</x:v>
      </x:c>
      <x:c r="P11" s="26" t="str">
        <x:v>Freeze namespaced processes, loopback ingress, callback isolation, encryption, secrets, logging, backup, and recovery architecture.</x:v>
      </x:c>
      <x:c r="Q11" s="26" t="str">
        <x:v>Approved ADRs, threat/data-flow diagrams, capacity assumptions, migration/rollback design, and restore contract are linked.</x:v>
      </x:c>
      <x:c r="R11" s="26" t="str">
        <x:v>No personal-data mutation is authorized by this task; it must define or prove reversible deployment and recovery before dependent implementation.</x:v>
      </x:c>
      <x:c r="S11" s="26" t="str">
        <x:v>Move to Done only when the named task evidence exists; prototype or document intent cannot prove implementation or release completion.</x:v>
      </x:c>
      <x:c r="T11" s="26" t="str">
        <x:v>https://github.com/arunpr614/Life-Reflection/issues/7</x:v>
      </x:c>
    </x:row>
    <x:row r="12" ht="78" customHeight="1">
      <x:c r="A12" s="26" t="str">
        <x:v>ENG-R0-001</x:v>
      </x:c>
      <x:c r="B12" s="26" t="str">
        <x:v>Deploy Synthetic Private Shell</x:v>
      </x:c>
      <x:c r="C12" s="26" t="str">
        <x:v>Next</x:v>
      </x:c>
      <x:c r="D12" s="26" t="str">
        <x:v>R0</x:v>
      </x:c>
      <x:c r="E12" s="26" t="str">
        <x:v>Implementation</x:v>
      </x:c>
      <x:c r="F12" s="26" t="str">
        <x:v>Engineering</x:v>
      </x:c>
      <x:c r="G12" s="26" t="str">
        <x:v>High</x:v>
      </x:c>
      <x:c r="H12" s="31" t="n">
        <x:v>46255</x:v>
      </x:c>
      <x:c r="I12" s="31" t="n">
        <x:v>46260</x:v>
      </x:c>
      <x:c r="J12" s="26" t="n">
        <x:f>IF(OR(H12="",I12=""),"",I12-H12+1)</x:f>
        <x:v>6</x:v>
      </x:c>
      <x:c r="K12" s="26" t="str">
        <x:v>LID-SCP-001, LID-OPS-001, LID-OPS-002, LID-OPS-003, LID-OPS-004, LID-OPS-008, LID-OPS-011, LID-OPS-012, LID-OPS-014, LID-OPS-016, LID-OPS-018</x:v>
      </x:c>
      <x:c r="L12" s="26" t="str">
        <x:v>UX-R0-001, ARCH-R0-001</x:v>
      </x:c>
      <x:c r="M12" s="26" t="str">
        <x:v>https://github.com/arunpr614/Life-Reflection/blob/main/docs/product/releases/PRD-R0-SHARED-HOST-PRIVATE-FOUNDATION.md</x:v>
      </x:c>
      <x:c r="N12" s="26" t="str">
        <x:v>https://github.com/arunpr614/Life-Reflection/blob/main/docs/council/UX-DESIGN-REVIEW.md</x:v>
      </x:c>
      <x:c r="O12" s="26" t="str">
        <x:v>https://github.com/arunpr614/Life-Reflection/blob/main/docs/architecture/PHASE1-IMPLEMENTATION-PLAN.md</x:v>
      </x:c>
      <x:c r="P12" s="26" t="str">
        <x:v>Build and deploy an authenticated synthetic shell with health evidence and no route or data path for real memories.</x:v>
      </x:c>
      <x:c r="Q12" s="26" t="str">
        <x:v>Merged implementation, tests, migration evidence, sanitized deployment record, and no-regression proof are linked.</x:v>
      </x:c>
      <x:c r="R12" s="26" t="str">
        <x:v>Adds synthetic encrypted database/configuration and job state only; migration must be reversible and backup/restore coverage must pass before release acceptance.</x:v>
      </x:c>
      <x:c r="S12" s="26" t="str">
        <x:v>Move to Done only when the named task evidence exists; prototype or document intent cannot prove implementation or release completion.</x:v>
      </x:c>
      <x:c r="T12" s="26" t="str">
        <x:v>https://github.com/arunpr614/Life-Reflection/issues/8</x:v>
      </x:c>
    </x:row>
    <x:row r="13" ht="78" customHeight="1">
      <x:c r="A13" s="26" t="str">
        <x:v>REL-R0-001</x:v>
      </x:c>
      <x:c r="B13" s="26" t="str">
        <x:v>Restore/Rollback/Non-regression Acceptance</x:v>
      </x:c>
      <x:c r="C13" s="26" t="str">
        <x:v>Next</x:v>
      </x:c>
      <x:c r="D13" s="26" t="str">
        <x:v>R0</x:v>
      </x:c>
      <x:c r="E13" s="26" t="str">
        <x:v>Release acceptance</x:v>
      </x:c>
      <x:c r="F13" s="26" t="str">
        <x:v>Project Manager</x:v>
      </x:c>
      <x:c r="G13" s="26" t="str">
        <x:v>High</x:v>
      </x:c>
      <x:c r="H13" s="31" t="n">
        <x:v>46261</x:v>
      </x:c>
      <x:c r="I13" s="31" t="n">
        <x:v>46262</x:v>
      </x:c>
      <x:c r="J13" s="26" t="n">
        <x:f>IF(OR(H13="",I13=""),"",I13-H13+1)</x:f>
        <x:v>2</x:v>
      </x:c>
      <x:c r="K13" s="26" t="str">
        <x:v>LID-SCP-001, LID-OPS-001, LID-OPS-002, LID-OPS-003, LID-OPS-004, LID-OPS-008, LID-OPS-011, LID-OPS-012, LID-OPS-014, LID-OPS-016, LID-OPS-018</x:v>
      </x:c>
      <x:c r="L13" s="26" t="str">
        <x:v>ENG-R0-001</x:v>
      </x:c>
      <x:c r="M13" s="26" t="str">
        <x:v>https://github.com/arunpr614/Life-Reflection/blob/main/docs/product/releases/PRD-R0-SHARED-HOST-PRIVATE-FOUNDATION.md</x:v>
      </x:c>
      <x:c r="N13" s="26" t="str">
        <x:v>https://github.com/arunpr614/Life-Reflection/blob/main/docs/council/UX-DESIGN-REVIEW.md</x:v>
      </x:c>
      <x:c r="O13" s="26" t="str">
        <x:v>https://github.com/arunpr614/Life-Reflection/blob/main/docs/architecture/PHASE1-IMPLEMENTATION-PLAN.md</x:v>
      </x:c>
      <x:c r="P13" s="26" t="str">
        <x:v>Execute access, coexistence, encrypted synthetic restore, restart, rollback, and co-resident non-regression gates.</x:v>
      </x:c>
      <x:c r="Q13" s="26" t="str">
        <x:v>Release checklist, owner walkthrough, backup/restore evidence for new shapes, rollback result, defect gate, and go/no-go record are linked.</x:v>
      </x:c>
      <x:c r="R13" s="26" t="str">
        <x:v>Validates rollback and restore for every persistent shape introduced by the milestone; acceptance never substitutes a successful backup upload for restore evidence.</x:v>
      </x:c>
      <x:c r="S13" s="26" t="str">
        <x:v>Move to Done only when the named task evidence exists; prototype or document intent cannot prove implementation or release completion.</x:v>
      </x:c>
      <x:c r="T13" s="26" t="str">
        <x:v>https://github.com/arunpr614/Life-Reflection/issues/9</x:v>
      </x:c>
    </x:row>
    <x:row r="14" ht="78" customHeight="1">
      <x:c r="A14" s="26" t="str">
        <x:v>PRD-R1-001</x:v>
      </x:c>
      <x:c r="B14" s="26" t="str">
        <x:v>Manual Archive PRD</x:v>
      </x:c>
      <x:c r="C14" s="26" t="str">
        <x:v>Done</x:v>
      </x:c>
      <x:c r="D14" s="26" t="str">
        <x:v>R1</x:v>
      </x:c>
      <x:c r="E14" s="26" t="str">
        <x:v>Product definition</x:v>
      </x:c>
      <x:c r="F14" s="26" t="str">
        <x:v>Product Manager</x:v>
      </x:c>
      <x:c r="G14" s="26" t="str">
        <x:v>High</x:v>
      </x:c>
      <x:c r="H14" s="31" t="n">
        <x:v>46265</x:v>
      </x:c>
      <x:c r="I14" s="31" t="n">
        <x:v>46267</x:v>
      </x:c>
      <x:c r="J14" s="26" t="n">
        <x:f>IF(OR(H14="",I14=""),"",I14-H14+1)</x:f>
        <x:v>3</x:v>
      </x:c>
      <x:c r="K14" s="26" t="str">
        <x:v>LID-SCP-002, LID-SCP-003, LID-UP-001, LID-UP-002, LID-UP-003, LID-REF-001, LID-REF-004, LID-REF-005, LID-REF-006, LID-OPS-011, LID-OPS-018</x:v>
      </x:c>
      <x:c r="L14" s="26" t="str">
        <x:v>PC-001</x:v>
      </x:c>
      <x:c r="M14" s="26" t="str">
        <x:v>https://github.com/arunpr614/Life-Reflection/blob/main/docs/product/releases/PRD-R1-MANUAL-JOURNAL-ARCHIVE.md</x:v>
      </x:c>
      <x:c r="N14" s="26" t="str">
        <x:v>https://github.com/arunpr614/Life-Reflection/blob/main/docs/council/UX-DESIGN-REVIEW.md</x:v>
      </x:c>
      <x:c r="O14" s="26" t="str">
        <x:v>https://github.com/arunpr614/Life-Reflection/blob/main/docs/architecture/PHASE1-IMPLEMENTATION-PLAN.md</x:v>
      </x:c>
      <x:c r="P14" s="26" t="str">
        <x:v>Define the first memory-creating release with explicit-date text upload and authentic Calendar/Journal Day recall.</x:v>
      </x:c>
      <x:c r="Q14" s="26" t="str">
        <x:v>Release document docs/product/releases/PRD-R1-MANUAL-JOURNAL-ARCHIVE.md exists, passes link/requirement validation, and states owner approval as a separate release gate.</x:v>
      </x:c>
      <x:c r="R14" s="26" t="str">
        <x:v>Planning evidence only; no production data mutation. Any later implementation still needs its own migration, restore, and rollback proof.</x:v>
      </x:c>
      <x:c r="S14" s="26" t="str">
        <x:v>This planning artifact is complete; it does not claim feature implementation, deployment, production readiness, or release acceptance.</x:v>
      </x:c>
      <x:c r="T14" s="26" t="str">
        <x:v>https://github.com/arunpr614/Life-Reflection/issues/10</x:v>
      </x:c>
    </x:row>
    <x:row r="15" ht="78" customHeight="1">
      <x:c r="A15" s="26" t="str">
        <x:v>UX-R1-001</x:v>
      </x:c>
      <x:c r="B15" s="26" t="str">
        <x:v>Calendar/Day/Upload Designs</x:v>
      </x:c>
      <x:c r="C15" s="26" t="str">
        <x:v>Backlog</x:v>
      </x:c>
      <x:c r="D15" s="26" t="str">
        <x:v>R1</x:v>
      </x:c>
      <x:c r="E15" s="26" t="str">
        <x:v>Design</x:v>
      </x:c>
      <x:c r="F15" s="26" t="str">
        <x:v>UI/UX Designer</x:v>
      </x:c>
      <x:c r="G15" s="26" t="str">
        <x:v>High</x:v>
      </x:c>
      <x:c r="H15" s="31" t="n">
        <x:v>46265</x:v>
      </x:c>
      <x:c r="I15" s="31" t="n">
        <x:v>46269</x:v>
      </x:c>
      <x:c r="J15" s="26" t="n">
        <x:f>IF(OR(H15="",I15=""),"",I15-H15+1)</x:f>
        <x:v>5</x:v>
      </x:c>
      <x:c r="K15" s="26" t="str">
        <x:v>LID-SCP-002, LID-SCP-003, LID-UP-001, LID-UP-003, LID-REF-001, LID-REF-004, LID-REF-005, LID-REF-006</x:v>
      </x:c>
      <x:c r="L15" s="26" t="str">
        <x:v>PRD-R1-001</x:v>
      </x:c>
      <x:c r="M15" s="26" t="str">
        <x:v>https://github.com/arunpr614/Life-Reflection/blob/main/docs/product/releases/PRD-R1-MANUAL-JOURNAL-ARCHIVE.md</x:v>
      </x:c>
      <x:c r="N15" s="26" t="str">
        <x:v>https://github.com/arunpr614/Life-Reflection/blob/main/docs/council/UX-DESIGN-REVIEW.md</x:v>
      </x:c>
      <x:c r="O15" s="26" t="str">
        <x:v>https://github.com/arunpr614/Life-Reflection/blob/main/docs/architecture/PHASE1-IMPLEMENTATION-PLAN.md</x:v>
      </x:c>
      <x:c r="P15" s="26" t="str">
        <x:v>Finalize Calendar, Journal Day, upload, empty/loading/error, responsive, theme, and accessibility states.</x:v>
      </x:c>
      <x:c r="Q15" s="26" t="str">
        <x:v>Release-specific flows, empty/loading/error/destructive states, responsive behavior, keyboard/screen-reader notes, and design sign-off are linked.</x:v>
      </x:c>
      <x:c r="R15" s="26" t="str">
        <x:v>Planning evidence only; no production data mutation. Any later implementation still needs its own migration, restore, and rollback proof.</x:v>
      </x:c>
      <x:c r="S15" s="26" t="str">
        <x:v>Move to Done only when the named task evidence exists; prototype or document intent cannot prove implementation or release completion.</x:v>
      </x:c>
      <x:c r="T15" s="26" t="str">
        <x:v>https://github.com/arunpr614/Life-Reflection/issues/11</x:v>
      </x:c>
    </x:row>
    <x:row r="16" ht="78" customHeight="1">
      <x:c r="A16" s="26" t="str">
        <x:v>ARCH-R1-001</x:v>
      </x:c>
      <x:c r="B16" s="26" t="str">
        <x:v>Journal/Source/Encryption Schema</x:v>
      </x:c>
      <x:c r="C16" s="26" t="str">
        <x:v>Backlog</x:v>
      </x:c>
      <x:c r="D16" s="26" t="str">
        <x:v>R1</x:v>
      </x:c>
      <x:c r="E16" s="26" t="str">
        <x:v>Architecture</x:v>
      </x:c>
      <x:c r="F16" s="26" t="str">
        <x:v>Technical Architect</x:v>
      </x:c>
      <x:c r="G16" s="26" t="str">
        <x:v>High</x:v>
      </x:c>
      <x:c r="H16" s="31" t="n">
        <x:v>46265</x:v>
      </x:c>
      <x:c r="I16" s="31" t="n">
        <x:v>46269</x:v>
      </x:c>
      <x:c r="J16" s="26" t="n">
        <x:f>IF(OR(H16="",I16=""),"",I16-H16+1)</x:f>
        <x:v>5</x:v>
      </x:c>
      <x:c r="K16" s="26" t="str">
        <x:v>LID-SCP-002, LID-SCP-003, LID-UP-001, LID-UP-002, LID-UP-003, LID-OPS-011, LID-OPS-018</x:v>
      </x:c>
      <x:c r="L16" s="26" t="str">
        <x:v>PRD-R1-001, REL-R0-001</x:v>
      </x:c>
      <x:c r="M16" s="26" t="str">
        <x:v>https://github.com/arunpr614/Life-Reflection/blob/main/docs/product/releases/PRD-R1-MANUAL-JOURNAL-ARCHIVE.md</x:v>
      </x:c>
      <x:c r="N16" s="26" t="str">
        <x:v>https://github.com/arunpr614/Life-Reflection/blob/main/docs/council/UX-DESIGN-REVIEW.md</x:v>
      </x:c>
      <x:c r="O16" s="26" t="str">
        <x:v>https://github.com/arunpr614/Life-Reflection/blob/main/docs/architecture/PHASE1-IMPLEMENTATION-PLAN.md</x:v>
      </x:c>
      <x:c r="P16" s="26" t="str">
        <x:v>Define Journal Day, immutable source file, checksum, encryption, index, backup, restore, and migration contracts.</x:v>
      </x:c>
      <x:c r="Q16" s="26" t="str">
        <x:v>Approved ADRs, threat/data-flow diagrams, capacity assumptions, migration/rollback design, and restore contract are linked.</x:v>
      </x:c>
      <x:c r="R16" s="26" t="str">
        <x:v>No personal-data mutation is authorized by this task; it must define or prove reversible deployment and recovery before dependent implementation.</x:v>
      </x:c>
      <x:c r="S16" s="26" t="str">
        <x:v>Move to Done only when the named task evidence exists; prototype or document intent cannot prove implementation or release completion.</x:v>
      </x:c>
      <x:c r="T16" s="26" t="str">
        <x:v>https://github.com/arunpr614/Life-Reflection/issues/12</x:v>
      </x:c>
    </x:row>
    <x:row r="17" ht="78" customHeight="1">
      <x:c r="A17" s="26" t="str">
        <x:v>ENG-R1-001</x:v>
      </x:c>
      <x:c r="B17" s="26" t="str">
        <x:v>Manual Upload &amp; Reflection Core</x:v>
      </x:c>
      <x:c r="C17" s="26" t="str">
        <x:v>Backlog</x:v>
      </x:c>
      <x:c r="D17" s="26" t="str">
        <x:v>R1</x:v>
      </x:c>
      <x:c r="E17" s="26" t="str">
        <x:v>Implementation</x:v>
      </x:c>
      <x:c r="F17" s="26" t="str">
        <x:v>Engineering</x:v>
      </x:c>
      <x:c r="G17" s="26" t="str">
        <x:v>High</x:v>
      </x:c>
      <x:c r="H17" s="31" t="n">
        <x:v>46268</x:v>
      </x:c>
      <x:c r="I17" s="31" t="n">
        <x:v>46280</x:v>
      </x:c>
      <x:c r="J17" s="26" t="n">
        <x:f>IF(OR(H17="",I17=""),"",I17-H17+1)</x:f>
        <x:v>13</x:v>
      </x:c>
      <x:c r="K17" s="26" t="str">
        <x:v>LID-SCP-002, LID-SCP-003, LID-UP-001, LID-UP-002, LID-UP-003, LID-REF-001, LID-REF-004, LID-REF-005, LID-REF-006, LID-OPS-011, LID-OPS-018</x:v>
      </x:c>
      <x:c r="L17" s="26" t="str">
        <x:v>UX-R1-001, ARCH-R1-001, REL-R0-001</x:v>
      </x:c>
      <x:c r="M17" s="26" t="str">
        <x:v>https://github.com/arunpr614/Life-Reflection/blob/main/docs/product/releases/PRD-R1-MANUAL-JOURNAL-ARCHIVE.md</x:v>
      </x:c>
      <x:c r="N17" s="26" t="str">
        <x:v>https://github.com/arunpr614/Life-Reflection/blob/main/docs/council/UX-DESIGN-REVIEW.md</x:v>
      </x:c>
      <x:c r="O17" s="26" t="str">
        <x:v>https://github.com/arunpr614/Life-Reflection/blob/main/docs/architecture/PHASE1-IMPLEMENTATION-PLAN.md</x:v>
      </x:c>
      <x:c r="P17" s="26" t="str">
        <x:v>Implement durable explicit-date text upload, duplicate override, Calendar, and authentic Journal Day display.</x:v>
      </x:c>
      <x:c r="Q17" s="26" t="str">
        <x:v>Merged implementation, tests, migration evidence, sanitized deployment record, and no-regression proof are linked.</x:v>
      </x:c>
      <x:c r="R17" s="26" t="str">
        <x:v>Adds journal-day, source-file, checksum, and correction-ready records; migration must be reversible and backup/restore coverage must pass before release acceptance.</x:v>
      </x:c>
      <x:c r="S17" s="26" t="str">
        <x:v>Move to Done only when the named task evidence exists; prototype or document intent cannot prove implementation or release completion.</x:v>
      </x:c>
      <x:c r="T17" s="26" t="str">
        <x:v>https://github.com/arunpr614/Life-Reflection/issues/13</x:v>
      </x:c>
    </x:row>
    <x:row r="18" ht="78" customHeight="1">
      <x:c r="A18" s="26" t="str">
        <x:v>REL-R1-001</x:v>
      </x:c>
      <x:c r="B18" s="26" t="str">
        <x:v>First-memory Restore/Rollback Acceptance</x:v>
      </x:c>
      <x:c r="C18" s="26" t="str">
        <x:v>Backlog</x:v>
      </x:c>
      <x:c r="D18" s="26" t="str">
        <x:v>R1</x:v>
      </x:c>
      <x:c r="E18" s="26" t="str">
        <x:v>Release acceptance</x:v>
      </x:c>
      <x:c r="F18" s="26" t="str">
        <x:v>Project Manager</x:v>
      </x:c>
      <x:c r="G18" s="26" t="str">
        <x:v>High</x:v>
      </x:c>
      <x:c r="H18" s="31" t="n">
        <x:v>46281</x:v>
      </x:c>
      <x:c r="I18" s="31" t="n">
        <x:v>46283</x:v>
      </x:c>
      <x:c r="J18" s="26" t="n">
        <x:f>IF(OR(H18="",I18=""),"",I18-H18+1)</x:f>
        <x:v>3</x:v>
      </x:c>
      <x:c r="K18" s="26" t="str">
        <x:v>LID-SCP-002, LID-SCP-003, LID-UP-001, LID-UP-002, LID-UP-003, LID-REF-001, LID-REF-004, LID-REF-005, LID-REF-006, LID-OPS-011, LID-OPS-018</x:v>
      </x:c>
      <x:c r="L18" s="26" t="str">
        <x:v>ENG-R1-001</x:v>
      </x:c>
      <x:c r="M18" s="26" t="str">
        <x:v>https://github.com/arunpr614/Life-Reflection/blob/main/docs/product/releases/PRD-R1-MANUAL-JOURNAL-ARCHIVE.md</x:v>
      </x:c>
      <x:c r="N18" s="26" t="str">
        <x:v>https://github.com/arunpr614/Life-Reflection/blob/main/docs/council/UX-DESIGN-REVIEW.md</x:v>
      </x:c>
      <x:c r="O18" s="26" t="str">
        <x:v>https://github.com/arunpr614/Life-Reflection/blob/main/docs/architecture/PHASE1-IMPLEMENTATION-PLAN.md</x:v>
      </x:c>
      <x:c r="P18" s="26" t="str">
        <x:v>Verify one owner-approved source survives upload, restart, export, backup, restore, and rollback without time/date drift.</x:v>
      </x:c>
      <x:c r="Q18" s="26" t="str">
        <x:v>Release checklist, owner walkthrough, backup/restore evidence for new shapes, rollback result, defect gate, and go/no-go record are linked.</x:v>
      </x:c>
      <x:c r="R18" s="26" t="str">
        <x:v>Validates rollback and restore for every persistent shape introduced by the milestone; acceptance never substitutes a successful backup upload for restore evidence.</x:v>
      </x:c>
      <x:c r="S18" s="26" t="str">
        <x:v>Move to Done only when the named task evidence exists; prototype or document intent cannot prove implementation or release completion.</x:v>
      </x:c>
      <x:c r="T18" s="26" t="str">
        <x:v>https://github.com/arunpr614/Life-Reflection/issues/14</x:v>
      </x:c>
    </x:row>
    <x:row r="19" ht="78" customHeight="1">
      <x:c r="A19" s="26" t="str">
        <x:v>PRD-R2-001</x:v>
      </x:c>
      <x:c r="B19" s="26" t="str">
        <x:v>Telegram Capture PRD</x:v>
      </x:c>
      <x:c r="C19" s="26" t="str">
        <x:v>Done</x:v>
      </x:c>
      <x:c r="D19" s="26" t="str">
        <x:v>R2</x:v>
      </x:c>
      <x:c r="E19" s="26" t="str">
        <x:v>Product definition</x:v>
      </x:c>
      <x:c r="F19" s="26" t="str">
        <x:v>Product Manager</x:v>
      </x:c>
      <x:c r="G19" s="26" t="str">
        <x:v>High</x:v>
      </x:c>
      <x:c r="H19" s="31" t="n">
        <x:v>46286</x:v>
      </x:c>
      <x:c r="I19" s="31" t="n">
        <x:v>46288</x:v>
      </x:c>
      <x:c r="J19" s="26" t="n">
        <x:f>IF(OR(H19="",I19=""),"",I19-H19+1)</x:f>
        <x:v>3</x:v>
      </x:c>
      <x:c r="K19" s="26" t="str">
        <x:v>LID-TG-001, LID-TG-002, LID-TG-003, LID-TG-004, LID-TG-005, LID-TG-006, LID-TG-007, LID-TG-008, LID-TG-009, LID-TG-010, LID-OPS-005, LID-OPS-009, LID-OPS-011, LID-OPS-015, LID-OPS-018</x:v>
      </x:c>
      <x:c r="L19" s="26" t="str">
        <x:v>PC-001</x:v>
      </x:c>
      <x:c r="M19" s="26" t="str">
        <x:v>https://github.com/arunpr614/Life-Reflection/blob/main/docs/product/releases/PRD-R2-TELEGRAM-PHOTO-CAPTURE.md</x:v>
      </x:c>
      <x:c r="N19" s="26" t="str">
        <x:v>https://github.com/arunpr614/Life-Reflection/blob/main/docs/council/UX-DESIGN-REVIEW.md</x:v>
      </x:c>
      <x:c r="O19" s="26" t="str">
        <x:v>https://github.com/arunpr614/Life-Reflection/blob/main/docs/architecture/PHASE1-IMPLEMENTATION-PLAN.md</x:v>
      </x:c>
      <x:c r="P19" s="26" t="str">
        <x:v>Define authorized media forms, dating/review, durable acknowledgement, gallery, duplicate, caption, and privacy behavior.</x:v>
      </x:c>
      <x:c r="Q19" s="26" t="str">
        <x:v>Release document docs/product/releases/PRD-R2-TELEGRAM-PHOTO-CAPTURE.md exists, passes link/requirement validation, and states owner approval as a separate release gate.</x:v>
      </x:c>
      <x:c r="R19" s="26" t="str">
        <x:v>Planning evidence only; no production data mutation. Any later implementation still needs its own migration, restore, and rollback proof.</x:v>
      </x:c>
      <x:c r="S19" s="26" t="str">
        <x:v>This planning artifact is complete; it does not claim feature implementation, deployment, production readiness, or release acceptance.</x:v>
      </x:c>
      <x:c r="T19" s="26" t="str">
        <x:v>https://github.com/arunpr614/Life-Reflection/issues/15</x:v>
      </x:c>
    </x:row>
    <x:row r="20" ht="78" customHeight="1">
      <x:c r="A20" s="26" t="str">
        <x:v>UX-R2-001</x:v>
      </x:c>
      <x:c r="B20" s="26" t="str">
        <x:v>Telegram/Date Review/Gallery Designs</x:v>
      </x:c>
      <x:c r="C20" s="26" t="str">
        <x:v>Backlog</x:v>
      </x:c>
      <x:c r="D20" s="26" t="str">
        <x:v>R2</x:v>
      </x:c>
      <x:c r="E20" s="26" t="str">
        <x:v>Design</x:v>
      </x:c>
      <x:c r="F20" s="26" t="str">
        <x:v>UI/UX Designer</x:v>
      </x:c>
      <x:c r="G20" s="26" t="str">
        <x:v>High</x:v>
      </x:c>
      <x:c r="H20" s="31" t="n">
        <x:v>46286</x:v>
      </x:c>
      <x:c r="I20" s="31" t="n">
        <x:v>46290</x:v>
      </x:c>
      <x:c r="J20" s="26" t="n">
        <x:f>IF(OR(H20="",I20=""),"",I20-H20+1)</x:f>
        <x:v>5</x:v>
      </x:c>
      <x:c r="K20" s="26" t="str">
        <x:v>LID-TG-002, LID-TG-003, LID-TG-004, LID-TG-005, LID-TG-006, LID-TG-007, LID-TG-008, LID-TG-009, LID-OPS-015</x:v>
      </x:c>
      <x:c r="L20" s="26" t="str">
        <x:v>PRD-R2-001</x:v>
      </x:c>
      <x:c r="M20" s="26" t="str">
        <x:v>https://github.com/arunpr614/Life-Reflection/blob/main/docs/product/releases/PRD-R2-TELEGRAM-PHOTO-CAPTURE.md</x:v>
      </x:c>
      <x:c r="N20" s="26" t="str">
        <x:v>https://github.com/arunpr614/Life-Reflection/blob/main/docs/council/UX-DESIGN-REVIEW.md</x:v>
      </x:c>
      <x:c r="O20" s="26" t="str">
        <x:v>https://github.com/arunpr614/Life-Reflection/blob/main/docs/architecture/PHASE1-IMPLEMENTATION-PLAN.md</x:v>
      </x:c>
      <x:c r="P20" s="26" t="str">
        <x:v>Design companion messages, media/date failures, Needs Date Review, gallery, cover, duplicates, and media management.</x:v>
      </x:c>
      <x:c r="Q20" s="26" t="str">
        <x:v>Release-specific flows, empty/loading/error/destructive states, responsive behavior, keyboard/screen-reader notes, and design sign-off are linked.</x:v>
      </x:c>
      <x:c r="R20" s="26" t="str">
        <x:v>Planning evidence only; no production data mutation. Any later implementation still needs its own migration, restore, and rollback proof.</x:v>
      </x:c>
      <x:c r="S20" s="26" t="str">
        <x:v>Move to Done only when the named task evidence exists; prototype or document intent cannot prove implementation or release completion.</x:v>
      </x:c>
      <x:c r="T20" s="26" t="str">
        <x:v>https://github.com/arunpr614/Life-Reflection/issues/16</x:v>
      </x:c>
    </x:row>
    <x:row r="21" ht="78" customHeight="1">
      <x:c r="A21" s="26" t="str">
        <x:v>ARCH-R2-001</x:v>
      </x:c>
      <x:c r="B21" s="26" t="str">
        <x:v>Media Pipeline &amp; Asset Lifecycle</x:v>
      </x:c>
      <x:c r="C21" s="26" t="str">
        <x:v>Backlog</x:v>
      </x:c>
      <x:c r="D21" s="26" t="str">
        <x:v>R2</x:v>
      </x:c>
      <x:c r="E21" s="26" t="str">
        <x:v>Architecture</x:v>
      </x:c>
      <x:c r="F21" s="26" t="str">
        <x:v>Technical Architect</x:v>
      </x:c>
      <x:c r="G21" s="26" t="str">
        <x:v>High</x:v>
      </x:c>
      <x:c r="H21" s="31" t="n">
        <x:v>46286</x:v>
      </x:c>
      <x:c r="I21" s="31" t="n">
        <x:v>46290</x:v>
      </x:c>
      <x:c r="J21" s="26" t="n">
        <x:f>IF(OR(H21="",I21=""),"",I21-H21+1)</x:f>
        <x:v>5</x:v>
      </x:c>
      <x:c r="K21" s="26" t="str">
        <x:v>LID-TG-001, LID-TG-002, LID-TG-003, LID-TG-004, LID-TG-005, LID-TG-006, LID-TG-007, LID-TG-008, LID-TG-009, LID-TG-010, LID-OPS-005, LID-OPS-009, LID-OPS-011, LID-OPS-015, LID-OPS-018</x:v>
      </x:c>
      <x:c r="L21" s="26" t="str">
        <x:v>PRD-R2-001, REL-R1-001</x:v>
      </x:c>
      <x:c r="M21" s="26" t="str">
        <x:v>https://github.com/arunpr614/Life-Reflection/blob/main/docs/product/releases/PRD-R2-TELEGRAM-PHOTO-CAPTURE.md</x:v>
      </x:c>
      <x:c r="N21" s="26" t="str">
        <x:v>https://github.com/arunpr614/Life-Reflection/blob/main/docs/council/UX-DESIGN-REVIEW.md</x:v>
      </x:c>
      <x:c r="O21" s="26" t="str">
        <x:v>https://github.com/arunpr614/Life-Reflection/blob/main/docs/architecture/PHASE1-IMPLEMENTATION-PLAN.md</x:v>
      </x:c>
      <x:c r="P21" s="26" t="str">
        <x:v>Define callback authorization, bounded staging/decoding, ciphertext/derivative flow, media references, deduplication, and restore.</x:v>
      </x:c>
      <x:c r="Q21" s="26" t="str">
        <x:v>Approved ADRs, threat/data-flow diagrams, capacity assumptions, migration/rollback design, and restore contract are linked.</x:v>
      </x:c>
      <x:c r="R21" s="26" t="str">
        <x:v>No personal-data mutation is authorized by this task; it must define or prove reversible deployment and recovery before dependent implementation.</x:v>
      </x:c>
      <x:c r="S21" s="26" t="str">
        <x:v>Move to Done only when the named task evidence exists; prototype or document intent cannot prove implementation or release completion.</x:v>
      </x:c>
      <x:c r="T21" s="26" t="str">
        <x:v>https://github.com/arunpr614/Life-Reflection/issues/17</x:v>
      </x:c>
    </x:row>
    <x:row r="22" ht="78" customHeight="1">
      <x:c r="A22" s="26" t="str">
        <x:v>ENG-R2-001</x:v>
      </x:c>
      <x:c r="B22" s="26" t="str">
        <x:v>Telegram Authorization &amp; Durable Capture</x:v>
      </x:c>
      <x:c r="C22" s="26" t="str">
        <x:v>Backlog</x:v>
      </x:c>
      <x:c r="D22" s="26" t="str">
        <x:v>R2</x:v>
      </x:c>
      <x:c r="E22" s="26" t="str">
        <x:v>Implementation</x:v>
      </x:c>
      <x:c r="F22" s="26" t="str">
        <x:v>Engineering</x:v>
      </x:c>
      <x:c r="G22" s="26" t="str">
        <x:v>High</x:v>
      </x:c>
      <x:c r="H22" s="31" t="n">
        <x:v>46289</x:v>
      </x:c>
      <x:c r="I22" s="31" t="n">
        <x:v>46297</x:v>
      </x:c>
      <x:c r="J22" s="26" t="n">
        <x:f>IF(OR(H22="",I22=""),"",I22-H22+1)</x:f>
        <x:v>9</x:v>
      </x:c>
      <x:c r="K22" s="26" t="str">
        <x:v>LID-TG-001, LID-TG-002, LID-TG-003, LID-TG-004, LID-TG-005, LID-TG-006, LID-OPS-005, LID-OPS-011, LID-OPS-015, LID-OPS-018</x:v>
      </x:c>
      <x:c r="L22" s="26" t="str">
        <x:v>UX-R2-001, ARCH-R2-001, REL-R1-001</x:v>
      </x:c>
      <x:c r="M22" s="26" t="str">
        <x:v>https://github.com/arunpr614/Life-Reflection/blob/main/docs/product/releases/PRD-R2-TELEGRAM-PHOTO-CAPTURE.md</x:v>
      </x:c>
      <x:c r="N22" s="26" t="str">
        <x:v>https://github.com/arunpr614/Life-Reflection/blob/main/docs/council/UX-DESIGN-REVIEW.md</x:v>
      </x:c>
      <x:c r="O22" s="26" t="str">
        <x:v>https://github.com/arunpr614/Life-Reflection/blob/main/docs/architecture/PHASE1-IMPLEMENTATION-PLAN.md</x:v>
      </x:c>
      <x:c r="P22" s="26" t="str">
        <x:v>Implement secret/sender/chat authorization, media validation, exact dating, review holding, and post-commit acknowledgement.</x:v>
      </x:c>
      <x:c r="Q22" s="26" t="str">
        <x:v>Merged implementation, tests, migration evidence, sanitized deployment record, and no-regression proof are linked.</x:v>
      </x:c>
      <x:c r="R22" s="26" t="str">
        <x:v>Adds encrypted media, derivative, gallery, duplicate-reference, and review-queue state; migration must be reversible and backup/restore coverage must pass before release acceptance.</x:v>
      </x:c>
      <x:c r="S22" s="26" t="str">
        <x:v>Move to Done only when the named task evidence exists; prototype or document intent cannot prove implementation or release completion.</x:v>
      </x:c>
      <x:c r="T22" s="26" t="str">
        <x:v>https://github.com/arunpr614/Life-Reflection/issues/18</x:v>
      </x:c>
    </x:row>
    <x:row r="23" ht="78" customHeight="1">
      <x:c r="A23" s="26" t="str">
        <x:v>ENG-R2-002</x:v>
      </x:c>
      <x:c r="B23" s="26" t="str">
        <x:v>Gallery/Cover/Dedup/Derivatives</x:v>
      </x:c>
      <x:c r="C23" s="26" t="str">
        <x:v>Backlog</x:v>
      </x:c>
      <x:c r="D23" s="26" t="str">
        <x:v>R2</x:v>
      </x:c>
      <x:c r="E23" s="26" t="str">
        <x:v>Implementation</x:v>
      </x:c>
      <x:c r="F23" s="26" t="str">
        <x:v>Engineering</x:v>
      </x:c>
      <x:c r="G23" s="26" t="str">
        <x:v>High</x:v>
      </x:c>
      <x:c r="H23" s="31" t="n">
        <x:v>46293</x:v>
      </x:c>
      <x:c r="I23" s="31" t="n">
        <x:v>46301</x:v>
      </x:c>
      <x:c r="J23" s="26" t="n">
        <x:f>IF(OR(H23="",I23=""),"",I23-H23+1)</x:f>
        <x:v>9</x:v>
      </x:c>
      <x:c r="K23" s="26" t="str">
        <x:v>LID-TG-007, LID-TG-008, LID-TG-009, LID-TG-010, LID-OPS-009, LID-OPS-011, LID-OPS-018</x:v>
      </x:c>
      <x:c r="L23" s="26" t="str">
        <x:v>ENG-R2-001</x:v>
      </x:c>
      <x:c r="M23" s="26" t="str">
        <x:v>https://github.com/arunpr614/Life-Reflection/blob/main/docs/product/releases/PRD-R2-TELEGRAM-PHOTO-CAPTURE.md</x:v>
      </x:c>
      <x:c r="N23" s="26" t="str">
        <x:v>https://github.com/arunpr614/Life-Reflection/blob/main/docs/council/UX-DESIGN-REVIEW.md</x:v>
      </x:c>
      <x:c r="O23" s="26" t="str">
        <x:v>https://github.com/arunpr614/Life-Reflection/blob/main/docs/architecture/PHASE1-IMPLEMENTATION-PLAN.md</x:v>
      </x:c>
      <x:c r="P23" s="26" t="str">
        <x:v>Implement durable gallery order, real-photo cover, global checksum references, captions, byte-preserved Originals, and local metadata-free thumbnails.</x:v>
      </x:c>
      <x:c r="Q23" s="26" t="str">
        <x:v>Merged implementation, tests, migration evidence, sanitized deployment record, and no-regression proof are linked.</x:v>
      </x:c>
      <x:c r="R23" s="26" t="str">
        <x:v>Adds encrypted media, derivative, gallery, duplicate-reference, and review-queue state; migration must be reversible and backup/restore coverage must pass before release acceptance.</x:v>
      </x:c>
      <x:c r="S23" s="26" t="str">
        <x:v>Move to Done only when the named task evidence exists; prototype or document intent cannot prove implementation or release completion.</x:v>
      </x:c>
      <x:c r="T23" s="26" t="str">
        <x:v>https://github.com/arunpr614/Life-Reflection/issues/19</x:v>
      </x:c>
    </x:row>
    <x:row r="24" ht="78" customHeight="1">
      <x:c r="A24" s="26" t="str">
        <x:v>REL-R2-001</x:v>
      </x:c>
      <x:c r="B24" s="26" t="str">
        <x:v>Media Privacy/Restore Acceptance</x:v>
      </x:c>
      <x:c r="C24" s="26" t="str">
        <x:v>Backlog</x:v>
      </x:c>
      <x:c r="D24" s="26" t="str">
        <x:v>R2</x:v>
      </x:c>
      <x:c r="E24" s="26" t="str">
        <x:v>Release acceptance</x:v>
      </x:c>
      <x:c r="F24" s="26" t="str">
        <x:v>Project Manager</x:v>
      </x:c>
      <x:c r="G24" s="26" t="str">
        <x:v>High</x:v>
      </x:c>
      <x:c r="H24" s="31" t="n">
        <x:v>46302</x:v>
      </x:c>
      <x:c r="I24" s="31" t="n">
        <x:v>46304</x:v>
      </x:c>
      <x:c r="J24" s="26" t="n">
        <x:f>IF(OR(H24="",I24=""),"",I24-H24+1)</x:f>
        <x:v>3</x:v>
      </x:c>
      <x:c r="K24" s="26" t="str">
        <x:v>LID-TG-001, LID-TG-002, LID-TG-003, LID-TG-004, LID-TG-005, LID-TG-006, LID-TG-007, LID-TG-008, LID-TG-009, LID-TG-010, LID-OPS-005, LID-OPS-009, LID-OPS-011, LID-OPS-015, LID-OPS-018</x:v>
      </x:c>
      <x:c r="L24" s="26" t="str">
        <x:v>ENG-R2-001, ENG-R2-002</x:v>
      </x:c>
      <x:c r="M24" s="26" t="str">
        <x:v>https://github.com/arunpr614/Life-Reflection/blob/main/docs/product/releases/PRD-R2-TELEGRAM-PHOTO-CAPTURE.md</x:v>
      </x:c>
      <x:c r="N24" s="26" t="str">
        <x:v>https://github.com/arunpr614/Life-Reflection/blob/main/docs/council/UX-DESIGN-REVIEW.md</x:v>
      </x:c>
      <x:c r="O24" s="26" t="str">
        <x:v>https://github.com/arunpr614/Life-Reflection/blob/main/docs/architecture/PHASE1-IMPLEMENTATION-PLAN.md</x:v>
      </x:c>
      <x:c r="P24" s="26" t="str">
        <x:v>Execute capture, invalid input/date, album, duplicate, cover, Original, AI-exclusion, media restore, and rollback fixtures.</x:v>
      </x:c>
      <x:c r="Q24" s="26" t="str">
        <x:v>Release checklist, owner walkthrough, backup/restore evidence for new shapes, rollback result, defect gate, and go/no-go record are linked.</x:v>
      </x:c>
      <x:c r="R24" s="26" t="str">
        <x:v>Validates rollback and restore for every persistent shape introduced by the milestone; acceptance never substitutes a successful backup upload for restore evidence.</x:v>
      </x:c>
      <x:c r="S24" s="26" t="str">
        <x:v>Move to Done only when the named task evidence exists; prototype or document intent cannot prove implementation or release completion.</x:v>
      </x:c>
      <x:c r="T24" s="26" t="str">
        <x:v>https://github.com/arunpr614/Life-Reflection/issues/20</x:v>
      </x:c>
    </x:row>
    <x:row r="25" ht="78" customHeight="1">
      <x:c r="A25" s="26" t="str">
        <x:v>PRD-R3-001</x:v>
      </x:c>
      <x:c r="B25" s="26" t="str">
        <x:v>Retrieval &amp; Date Integrity PRD</x:v>
      </x:c>
      <x:c r="C25" s="26" t="str">
        <x:v>Done</x:v>
      </x:c>
      <x:c r="D25" s="26" t="str">
        <x:v>R3</x:v>
      </x:c>
      <x:c r="E25" s="26" t="str">
        <x:v>Product definition</x:v>
      </x:c>
      <x:c r="F25" s="26" t="str">
        <x:v>Product Manager</x:v>
      </x:c>
      <x:c r="G25" s="26" t="str">
        <x:v>High</x:v>
      </x:c>
      <x:c r="H25" s="31" t="n">
        <x:v>46307</x:v>
      </x:c>
      <x:c r="I25" s="31" t="n">
        <x:v>46309</x:v>
      </x:c>
      <x:c r="J25" s="26" t="n">
        <x:f>IF(OR(H25="",I25=""),"",I25-H25+1)</x:f>
        <x:v>3</x:v>
      </x:c>
      <x:c r="K25" s="26" t="str">
        <x:v>LID-SRC-003, LID-REF-002, LID-REF-003, LID-REF-006, LID-OPS-011, LID-OPS-018</x:v>
      </x:c>
      <x:c r="L25" s="26" t="str">
        <x:v>PC-001</x:v>
      </x:c>
      <x:c r="M25" s="26" t="str">
        <x:v>https://github.com/arunpr614/Life-Reflection/blob/main/docs/product/releases/PRD-R3-RETRIEVAL-DATE-INTEGRITY.md</x:v>
      </x:c>
      <x:c r="N25" s="26" t="str">
        <x:v>https://github.com/arunpr614/Life-Reflection/blob/main/docs/council/UX-DESIGN-REVIEW.md</x:v>
      </x:c>
      <x:c r="O25" s="26" t="str">
        <x:v>https://github.com/arunpr614/Life-Reflection/blob/main/docs/architecture/PHASE1-IMPLEMENTATION-PLAN.md</x:v>
      </x:c>
      <x:c r="P25" s="26" t="str">
        <x:v>Define cross-month Timeline, exact retrieval, query privacy, Date Review, and atomic redating invariants.</x:v>
      </x:c>
      <x:c r="Q25" s="26" t="str">
        <x:v>Release document docs/product/releases/PRD-R3-RETRIEVAL-DATE-INTEGRITY.md exists, passes link/requirement validation, and states owner approval as a separate release gate.</x:v>
      </x:c>
      <x:c r="R25" s="26" t="str">
        <x:v>Planning evidence only; no production data mutation. Any later implementation still needs its own migration, restore, and rollback proof.</x:v>
      </x:c>
      <x:c r="S25" s="26" t="str">
        <x:v>This planning artifact is complete; it does not claim feature implementation, deployment, production readiness, or release acceptance.</x:v>
      </x:c>
      <x:c r="T25" s="26" t="str">
        <x:v>https://github.com/arunpr614/Life-Reflection/issues/21</x:v>
      </x:c>
    </x:row>
    <x:row r="26" ht="78" customHeight="1">
      <x:c r="A26" s="26" t="str">
        <x:v>UX-R3-001</x:v>
      </x:c>
      <x:c r="B26" s="26" t="str">
        <x:v>Timeline/Search/Date Review Designs</x:v>
      </x:c>
      <x:c r="C26" s="26" t="str">
        <x:v>Backlog</x:v>
      </x:c>
      <x:c r="D26" s="26" t="str">
        <x:v>R3</x:v>
      </x:c>
      <x:c r="E26" s="26" t="str">
        <x:v>Design</x:v>
      </x:c>
      <x:c r="F26" s="26" t="str">
        <x:v>UI/UX Designer</x:v>
      </x:c>
      <x:c r="G26" s="26" t="str">
        <x:v>High</x:v>
      </x:c>
      <x:c r="H26" s="31" t="n">
        <x:v>46307</x:v>
      </x:c>
      <x:c r="I26" s="31" t="n">
        <x:v>46311</x:v>
      </x:c>
      <x:c r="J26" s="26" t="n">
        <x:f>IF(OR(H26="",I26=""),"",I26-H26+1)</x:f>
        <x:v>5</x:v>
      </x:c>
      <x:c r="K26" s="26" t="str">
        <x:v>LID-SRC-003, LID-REF-002, LID-REF-003, LID-REF-006</x:v>
      </x:c>
      <x:c r="L26" s="26" t="str">
        <x:v>PRD-R3-001</x:v>
      </x:c>
      <x:c r="M26" s="26" t="str">
        <x:v>https://github.com/arunpr614/Life-Reflection/blob/main/docs/product/releases/PRD-R3-RETRIEVAL-DATE-INTEGRITY.md</x:v>
      </x:c>
      <x:c r="N26" s="26" t="str">
        <x:v>https://github.com/arunpr614/Life-Reflection/blob/main/docs/council/UX-DESIGN-REVIEW.md</x:v>
      </x:c>
      <x:c r="O26" s="26" t="str">
        <x:v>https://github.com/arunpr614/Life-Reflection/blob/main/docs/architecture/PHASE1-IMPLEMENTATION-PLAN.md</x:v>
      </x:c>
      <x:c r="P26" s="26" t="str">
        <x:v>Design Timeline, search scope/results/history, Date Review, redating preview, interruption, and failure states.</x:v>
      </x:c>
      <x:c r="Q26" s="26" t="str">
        <x:v>Release-specific flows, empty/loading/error/destructive states, responsive behavior, keyboard/screen-reader notes, and design sign-off are linked.</x:v>
      </x:c>
      <x:c r="R26" s="26" t="str">
        <x:v>Planning evidence only; no production data mutation. Any later implementation still needs its own migration, restore, and rollback proof.</x:v>
      </x:c>
      <x:c r="S26" s="26" t="str">
        <x:v>Move to Done only when the named task evidence exists; prototype or document intent cannot prove implementation or release completion.</x:v>
      </x:c>
      <x:c r="T26" s="26" t="str">
        <x:v>https://github.com/arunpr614/Life-Reflection/issues/22</x:v>
      </x:c>
    </x:row>
    <x:row r="27" ht="78" customHeight="1">
      <x:c r="A27" s="26" t="str">
        <x:v>ARCH-R3-001</x:v>
      </x:c>
      <x:c r="B27" s="26" t="str">
        <x:v>Search Index &amp; Redating Transaction</x:v>
      </x:c>
      <x:c r="C27" s="26" t="str">
        <x:v>Backlog</x:v>
      </x:c>
      <x:c r="D27" s="26" t="str">
        <x:v>R3</x:v>
      </x:c>
      <x:c r="E27" s="26" t="str">
        <x:v>Architecture</x:v>
      </x:c>
      <x:c r="F27" s="26" t="str">
        <x:v>Technical Architect</x:v>
      </x:c>
      <x:c r="G27" s="26" t="str">
        <x:v>High</x:v>
      </x:c>
      <x:c r="H27" s="31" t="n">
        <x:v>46307</x:v>
      </x:c>
      <x:c r="I27" s="31" t="n">
        <x:v>46311</x:v>
      </x:c>
      <x:c r="J27" s="26" t="n">
        <x:f>IF(OR(H27="",I27=""),"",I27-H27+1)</x:f>
        <x:v>5</x:v>
      </x:c>
      <x:c r="K27" s="26" t="str">
        <x:v>LID-SRC-003, LID-REF-002, LID-REF-003, LID-REF-006, LID-OPS-011, LID-OPS-018</x:v>
      </x:c>
      <x:c r="L27" s="26" t="str">
        <x:v>PRD-R3-001, REL-R2-001</x:v>
      </x:c>
      <x:c r="M27" s="26" t="str">
        <x:v>https://github.com/arunpr614/Life-Reflection/blob/main/docs/product/releases/PRD-R3-RETRIEVAL-DATE-INTEGRITY.md</x:v>
      </x:c>
      <x:c r="N27" s="26" t="str">
        <x:v>https://github.com/arunpr614/Life-Reflection/blob/main/docs/council/UX-DESIGN-REVIEW.md</x:v>
      </x:c>
      <x:c r="O27" s="26" t="str">
        <x:v>https://github.com/arunpr614/Life-Reflection/blob/main/docs/architecture/PHASE1-IMPLEMENTATION-PLAN.md</x:v>
      </x:c>
      <x:c r="P27" s="26" t="str">
        <x:v>Define encrypted lexical indexes, query/log privacy, date-review storage, and one-transaction old/new-day redating.</x:v>
      </x:c>
      <x:c r="Q27" s="26" t="str">
        <x:v>Approved ADRs, threat/data-flow diagrams, capacity assumptions, migration/rollback design, and restore contract are linked.</x:v>
      </x:c>
      <x:c r="R27" s="26" t="str">
        <x:v>No personal-data mutation is authorized by this task; it must define or prove reversible deployment and recovery before dependent implementation.</x:v>
      </x:c>
      <x:c r="S27" s="26" t="str">
        <x:v>Move to Done only when the named task evidence exists; prototype or document intent cannot prove implementation or release completion.</x:v>
      </x:c>
      <x:c r="T27" s="26" t="str">
        <x:v>https://github.com/arunpr614/Life-Reflection/issues/23</x:v>
      </x:c>
    </x:row>
    <x:row r="28" ht="78" customHeight="1">
      <x:c r="A28" s="26" t="str">
        <x:v>ENG-R3-001</x:v>
      </x:c>
      <x:c r="B28" s="26" t="str">
        <x:v>Timeline/Search/Date Review/Redating</x:v>
      </x:c>
      <x:c r="C28" s="26" t="str">
        <x:v>Backlog</x:v>
      </x:c>
      <x:c r="D28" s="26" t="str">
        <x:v>R3</x:v>
      </x:c>
      <x:c r="E28" s="26" t="str">
        <x:v>Implementation</x:v>
      </x:c>
      <x:c r="F28" s="26" t="str">
        <x:v>Engineering</x:v>
      </x:c>
      <x:c r="G28" s="26" t="str">
        <x:v>High</x:v>
      </x:c>
      <x:c r="H28" s="31" t="n">
        <x:v>46310</x:v>
      </x:c>
      <x:c r="I28" s="31" t="n">
        <x:v>46323</x:v>
      </x:c>
      <x:c r="J28" s="26" t="n">
        <x:f>IF(OR(H28="",I28=""),"",I28-H28+1)</x:f>
        <x:v>14</x:v>
      </x:c>
      <x:c r="K28" s="26" t="str">
        <x:v>LID-SRC-003, LID-REF-002, LID-REF-003, LID-REF-006, LID-OPS-011, LID-OPS-018</x:v>
      </x:c>
      <x:c r="L28" s="26" t="str">
        <x:v>UX-R3-001, ARCH-R3-001, REL-R2-001</x:v>
      </x:c>
      <x:c r="M28" s="26" t="str">
        <x:v>https://github.com/arunpr614/Life-Reflection/blob/main/docs/product/releases/PRD-R3-RETRIEVAL-DATE-INTEGRITY.md</x:v>
      </x:c>
      <x:c r="N28" s="26" t="str">
        <x:v>https://github.com/arunpr614/Life-Reflection/blob/main/docs/council/UX-DESIGN-REVIEW.md</x:v>
      </x:c>
      <x:c r="O28" s="26" t="str">
        <x:v>https://github.com/arunpr614/Life-Reflection/blob/main/docs/architecture/PHASE1-IMPLEMENTATION-PLAN.md</x:v>
      </x:c>
      <x:c r="P28" s="26" t="str">
        <x:v>Implement cross-month browsing, deterministic lexical/date/tag/caption retrieval, review resolution, and atomic redating.</x:v>
      </x:c>
      <x:c r="Q28" s="26" t="str">
        <x:v>Merged implementation, tests, migration evidence, sanitized deployment record, and no-regression proof are linked.</x:v>
      </x:c>
      <x:c r="R28" s="26" t="str">
        <x:v>Adds search index, date-review, and atomic redating state; migration must be reversible and backup/restore coverage must pass before release acceptance.</x:v>
      </x:c>
      <x:c r="S28" s="26" t="str">
        <x:v>Move to Done only when the named task evidence exists; prototype or document intent cannot prove implementation or release completion.</x:v>
      </x:c>
      <x:c r="T28" s="26" t="str">
        <x:v>https://github.com/arunpr614/Life-Reflection/issues/24</x:v>
      </x:c>
    </x:row>
    <x:row r="29" ht="78" customHeight="1">
      <x:c r="A29" s="26" t="str">
        <x:v>REL-R3-001</x:v>
      </x:c>
      <x:c r="B29" s="26" t="str">
        <x:v>Query Privacy &amp; Date Atomicity Acceptance</x:v>
      </x:c>
      <x:c r="C29" s="26" t="str">
        <x:v>Backlog</x:v>
      </x:c>
      <x:c r="D29" s="26" t="str">
        <x:v>R3</x:v>
      </x:c>
      <x:c r="E29" s="26" t="str">
        <x:v>Release acceptance</x:v>
      </x:c>
      <x:c r="F29" s="26" t="str">
        <x:v>Project Manager</x:v>
      </x:c>
      <x:c r="G29" s="26" t="str">
        <x:v>High</x:v>
      </x:c>
      <x:c r="H29" s="31" t="n">
        <x:v>46324</x:v>
      </x:c>
      <x:c r="I29" s="31" t="n">
        <x:v>46325</x:v>
      </x:c>
      <x:c r="J29" s="26" t="n">
        <x:f>IF(OR(H29="",I29=""),"",I29-H29+1)</x:f>
        <x:v>2</x:v>
      </x:c>
      <x:c r="K29" s="26" t="str">
        <x:v>LID-SRC-003, LID-REF-002, LID-REF-003, LID-REF-006, LID-OPS-011, LID-OPS-018</x:v>
      </x:c>
      <x:c r="L29" s="26" t="str">
        <x:v>ENG-R3-001</x:v>
      </x:c>
      <x:c r="M29" s="26" t="str">
        <x:v>https://github.com/arunpr614/Life-Reflection/blob/main/docs/product/releases/PRD-R3-RETRIEVAL-DATE-INTEGRITY.md</x:v>
      </x:c>
      <x:c r="N29" s="26" t="str">
        <x:v>https://github.com/arunpr614/Life-Reflection/blob/main/docs/council/UX-DESIGN-REVIEW.md</x:v>
      </x:c>
      <x:c r="O29" s="26" t="str">
        <x:v>https://github.com/arunpr614/Life-Reflection/blob/main/docs/architecture/PHASE1-IMPLEMENTATION-PLAN.md</x:v>
      </x:c>
      <x:c r="P29" s="26" t="str">
        <x:v>Verify exact results, opt-in history, zero query leakage, two-day atomicity, index recovery, restore, and rollback.</x:v>
      </x:c>
      <x:c r="Q29" s="26" t="str">
        <x:v>Release checklist, owner walkthrough, backup/restore evidence for new shapes, rollback result, defect gate, and go/no-go record are linked.</x:v>
      </x:c>
      <x:c r="R29" s="26" t="str">
        <x:v>Validates rollback and restore for every persistent shape introduced by the milestone; acceptance never substitutes a successful backup upload for restore evidence.</x:v>
      </x:c>
      <x:c r="S29" s="26" t="str">
        <x:v>Move to Done only when the named task evidence exists; prototype or document intent cannot prove implementation or release completion.</x:v>
      </x:c>
      <x:c r="T29" s="26" t="str">
        <x:v>https://github.com/arunpr614/Life-Reflection/issues/25</x:v>
      </x:c>
    </x:row>
    <x:row r="30" ht="78" customHeight="1">
      <x:c r="A30" s="26" t="str">
        <x:v>PRD-R4-001</x:v>
      </x:c>
      <x:c r="B30" s="26" t="str">
        <x:v>Lifecycle PRD</x:v>
      </x:c>
      <x:c r="C30" s="26" t="str">
        <x:v>Done</x:v>
      </x:c>
      <x:c r="D30" s="26" t="str">
        <x:v>R4</x:v>
      </x:c>
      <x:c r="E30" s="26" t="str">
        <x:v>Product definition</x:v>
      </x:c>
      <x:c r="F30" s="26" t="str">
        <x:v>Product Manager</x:v>
      </x:c>
      <x:c r="G30" s="26" t="str">
        <x:v>High</x:v>
      </x:c>
      <x:c r="H30" s="31" t="n">
        <x:v>46328</x:v>
      </x:c>
      <x:c r="I30" s="31" t="n">
        <x:v>46330</x:v>
      </x:c>
      <x:c r="J30" s="26" t="n">
        <x:f>IF(OR(H30="",I30=""),"",I30-H30+1)</x:f>
        <x:v>3</x:v>
      </x:c>
      <x:c r="K30" s="26" t="str">
        <x:v>LID-SCP-004, LID-SRC-001, LID-SRC-002, LID-SRC-004, LID-REF-007, LID-OPS-010, LID-OPS-011, LID-OPS-013, LID-OPS-018</x:v>
      </x:c>
      <x:c r="L30" s="26" t="str">
        <x:v>PC-001</x:v>
      </x:c>
      <x:c r="M30" s="26" t="str">
        <x:v>https://github.com/arunpr614/Life-Reflection/blob/main/docs/product/releases/PRD-R4-SOURCE-HISTORY-LIFECYCLE.md</x:v>
      </x:c>
      <x:c r="N30" s="26" t="str">
        <x:v>https://github.com/arunpr614/Life-Reflection/blob/main/docs/council/UX-DESIGN-REVIEW.md</x:v>
      </x:c>
      <x:c r="O30" s="26" t="str">
        <x:v>https://github.com/arunpr614/Life-Reflection/blob/main/docs/architecture/PHASE1-IMPLEMENTATION-PLAN.md</x:v>
      </x:c>
      <x:c r="P30" s="26" t="str">
        <x:v>Define Corrections, conflict choices, source binding, History, Trash, suppressions, confirmations, and complete export.</x:v>
      </x:c>
      <x:c r="Q30" s="26" t="str">
        <x:v>Release document docs/product/releases/PRD-R4-SOURCE-HISTORY-LIFECYCLE.md exists, passes link/requirement validation, and states owner approval as a separate release gate.</x:v>
      </x:c>
      <x:c r="R30" s="26" t="str">
        <x:v>Planning evidence only; no production data mutation. Any later implementation still needs its own migration, restore, and rollback proof.</x:v>
      </x:c>
      <x:c r="S30" s="26" t="str">
        <x:v>This planning artifact is complete; it does not claim feature implementation, deployment, production readiness, or release acceptance.</x:v>
      </x:c>
      <x:c r="T30" s="26" t="str">
        <x:v>https://github.com/arunpr614/Life-Reflection/issues/26</x:v>
      </x:c>
    </x:row>
    <x:row r="31" ht="78" customHeight="1">
      <x:c r="A31" s="26" t="str">
        <x:v>UX-R4-001</x:v>
      </x:c>
      <x:c r="B31" s="26" t="str">
        <x:v>Diff/History/Trash/Export Designs</x:v>
      </x:c>
      <x:c r="C31" s="26" t="str">
        <x:v>Backlog</x:v>
      </x:c>
      <x:c r="D31" s="26" t="str">
        <x:v>R4</x:v>
      </x:c>
      <x:c r="E31" s="26" t="str">
        <x:v>Design</x:v>
      </x:c>
      <x:c r="F31" s="26" t="str">
        <x:v>UI/UX Designer</x:v>
      </x:c>
      <x:c r="G31" s="26" t="str">
        <x:v>High</x:v>
      </x:c>
      <x:c r="H31" s="31" t="n">
        <x:v>46328</x:v>
      </x:c>
      <x:c r="I31" s="31" t="n">
        <x:v>46332</x:v>
      </x:c>
      <x:c r="J31" s="26" t="n">
        <x:f>IF(OR(H31="",I31=""),"",I31-H31+1)</x:f>
        <x:v>5</x:v>
      </x:c>
      <x:c r="K31" s="26" t="str">
        <x:v>LID-SCP-004, LID-SRC-001, LID-SRC-002, LID-SRC-004, LID-REF-007, LID-OPS-010, LID-OPS-013</x:v>
      </x:c>
      <x:c r="L31" s="26" t="str">
        <x:v>PRD-R4-001</x:v>
      </x:c>
      <x:c r="M31" s="26" t="str">
        <x:v>https://github.com/arunpr614/Life-Reflection/blob/main/docs/product/releases/PRD-R4-SOURCE-HISTORY-LIFECYCLE.md</x:v>
      </x:c>
      <x:c r="N31" s="26" t="str">
        <x:v>https://github.com/arunpr614/Life-Reflection/blob/main/docs/council/UX-DESIGN-REVIEW.md</x:v>
      </x:c>
      <x:c r="O31" s="26" t="str">
        <x:v>https://github.com/arunpr614/Life-Reflection/blob/main/docs/architecture/PHASE1-IMPLEMENTATION-PLAN.md</x:v>
      </x:c>
      <x:c r="P31" s="26" t="str">
        <x:v>Design accessible diff, Correction, History, Trash, suppression, confirmation, and encrypted-export workflows.</x:v>
      </x:c>
      <x:c r="Q31" s="26" t="str">
        <x:v>Release-specific flows, empty/loading/error/destructive states, responsive behavior, keyboard/screen-reader notes, and design sign-off are linked.</x:v>
      </x:c>
      <x:c r="R31" s="26" t="str">
        <x:v>Planning evidence only; no production data mutation. Any later implementation still needs its own migration, restore, and rollback proof.</x:v>
      </x:c>
      <x:c r="S31" s="26" t="str">
        <x:v>Move to Done only when the named task evidence exists; prototype or document intent cannot prove implementation or release completion.</x:v>
      </x:c>
      <x:c r="T31" s="26" t="str">
        <x:v>https://github.com/arunpr614/Life-Reflection/issues/27</x:v>
      </x:c>
    </x:row>
    <x:row r="32" ht="78" customHeight="1">
      <x:c r="A32" s="26" t="str">
        <x:v>ARCH-R4-001</x:v>
      </x:c>
      <x:c r="B32" s="26" t="str">
        <x:v>Revision/Suppression/Export Lifecycle</x:v>
      </x:c>
      <x:c r="C32" s="26" t="str">
        <x:v>Backlog</x:v>
      </x:c>
      <x:c r="D32" s="26" t="str">
        <x:v>R4</x:v>
      </x:c>
      <x:c r="E32" s="26" t="str">
        <x:v>Architecture</x:v>
      </x:c>
      <x:c r="F32" s="26" t="str">
        <x:v>Technical Architect</x:v>
      </x:c>
      <x:c r="G32" s="26" t="str">
        <x:v>High</x:v>
      </x:c>
      <x:c r="H32" s="31" t="n">
        <x:v>46328</x:v>
      </x:c>
      <x:c r="I32" s="31" t="n">
        <x:v>46332</x:v>
      </x:c>
      <x:c r="J32" s="26" t="n">
        <x:f>IF(OR(H32="",I32=""),"",I32-H32+1)</x:f>
        <x:v>5</x:v>
      </x:c>
      <x:c r="K32" s="26" t="str">
        <x:v>LID-SCP-004, LID-SRC-001, LID-SRC-002, LID-SRC-004, LID-REF-007, LID-OPS-010, LID-OPS-011, LID-OPS-013, LID-OPS-018</x:v>
      </x:c>
      <x:c r="L32" s="26" t="str">
        <x:v>PRD-R4-001, REL-R3-001</x:v>
      </x:c>
      <x:c r="M32" s="26" t="str">
        <x:v>https://github.com/arunpr614/Life-Reflection/blob/main/docs/product/releases/PRD-R4-SOURCE-HISTORY-LIFECYCLE.md</x:v>
      </x:c>
      <x:c r="N32" s="26" t="str">
        <x:v>https://github.com/arunpr614/Life-Reflection/blob/main/docs/council/UX-DESIGN-REVIEW.md</x:v>
      </x:c>
      <x:c r="O32" s="26" t="str">
        <x:v>https://github.com/arunpr614/Life-Reflection/blob/main/docs/architecture/PHASE1-IMPLEMENTATION-PLAN.md</x:v>
      </x:c>
      <x:c r="P32" s="26" t="str">
        <x:v>Define immutable revisions/Corrections, active display binding, Trash/suppression state machine, passphrase handoff, export cleanup, and restore.</x:v>
      </x:c>
      <x:c r="Q32" s="26" t="str">
        <x:v>Approved ADRs, threat/data-flow diagrams, capacity assumptions, migration/rollback design, and restore contract are linked.</x:v>
      </x:c>
      <x:c r="R32" s="26" t="str">
        <x:v>No personal-data mutation is authorized by this task; it must define or prove reversible deployment and recovery before dependent implementation.</x:v>
      </x:c>
      <x:c r="S32" s="26" t="str">
        <x:v>Move to Done only when the named task evidence exists; prototype or document intent cannot prove implementation or release completion.</x:v>
      </x:c>
      <x:c r="T32" s="26" t="str">
        <x:v>https://github.com/arunpr614/Life-Reflection/issues/28</x:v>
      </x:c>
    </x:row>
    <x:row r="33" ht="78" customHeight="1">
      <x:c r="A33" s="26" t="str">
        <x:v>ENG-R4-001</x:v>
      </x:c>
      <x:c r="B33" s="26" t="str">
        <x:v>Corrections/Conflict/History</x:v>
      </x:c>
      <x:c r="C33" s="26" t="str">
        <x:v>Backlog</x:v>
      </x:c>
      <x:c r="D33" s="26" t="str">
        <x:v>R4</x:v>
      </x:c>
      <x:c r="E33" s="26" t="str">
        <x:v>Implementation</x:v>
      </x:c>
      <x:c r="F33" s="26" t="str">
        <x:v>Engineering</x:v>
      </x:c>
      <x:c r="G33" s="26" t="str">
        <x:v>High</x:v>
      </x:c>
      <x:c r="H33" s="31" t="n">
        <x:v>46331</x:v>
      </x:c>
      <x:c r="I33" s="31" t="n">
        <x:v>46339</x:v>
      </x:c>
      <x:c r="J33" s="26" t="n">
        <x:f>IF(OR(H33="",I33=""),"",I33-H33+1)</x:f>
        <x:v>9</x:v>
      </x:c>
      <x:c r="K33" s="26" t="str">
        <x:v>LID-SCP-004, LID-SRC-001, LID-SRC-002, LID-SRC-004, LID-REF-007, LID-OPS-011, LID-OPS-018</x:v>
      </x:c>
      <x:c r="L33" s="26" t="str">
        <x:v>UX-R4-001, ARCH-R4-001, REL-R3-001</x:v>
      </x:c>
      <x:c r="M33" s="26" t="str">
        <x:v>https://github.com/arunpr614/Life-Reflection/blob/main/docs/product/releases/PRD-R4-SOURCE-HISTORY-LIFECYCLE.md</x:v>
      </x:c>
      <x:c r="N33" s="26" t="str">
        <x:v>https://github.com/arunpr614/Life-Reflection/blob/main/docs/council/UX-DESIGN-REVIEW.md</x:v>
      </x:c>
      <x:c r="O33" s="26" t="str">
        <x:v>https://github.com/arunpr614/Life-Reflection/blob/main/docs/architecture/PHASE1-IMPLEMENTATION-PLAN.md</x:v>
      </x:c>
      <x:c r="P33" s="26" t="str">
        <x:v>Implement immutable Corrections, retained revisions, exactly three conflict outcomes, exact source-set binding, and inspectable History.</x:v>
      </x:c>
      <x:c r="Q33" s="26" t="str">
        <x:v>Merged implementation, tests, migration evidence, sanitized deployment record, and no-regression proof are linked.</x:v>
      </x:c>
      <x:c r="R33" s="26" t="str">
        <x:v>Adds revision, Correction, conflict, Trash, suppression, and export state; migration must be reversible and backup/restore coverage must pass before release acceptance.</x:v>
      </x:c>
      <x:c r="S33" s="26" t="str">
        <x:v>Move to Done only when the named task evidence exists; prototype or document intent cannot prove implementation or release completion.</x:v>
      </x:c>
      <x:c r="T33" s="26" t="str">
        <x:v>https://github.com/arunpr614/Life-Reflection/issues/29</x:v>
      </x:c>
    </x:row>
    <x:row r="34" ht="78" customHeight="1">
      <x:c r="A34" s="26" t="str">
        <x:v>ENG-R4-002</x:v>
      </x:c>
      <x:c r="B34" s="26" t="str">
        <x:v>Trash/Suppressions/Export</x:v>
      </x:c>
      <x:c r="C34" s="26" t="str">
        <x:v>Backlog</x:v>
      </x:c>
      <x:c r="D34" s="26" t="str">
        <x:v>R4</x:v>
      </x:c>
      <x:c r="E34" s="26" t="str">
        <x:v>Implementation</x:v>
      </x:c>
      <x:c r="F34" s="26" t="str">
        <x:v>Engineering</x:v>
      </x:c>
      <x:c r="G34" s="26" t="str">
        <x:v>High</x:v>
      </x:c>
      <x:c r="H34" s="31" t="n">
        <x:v>46335</x:v>
      </x:c>
      <x:c r="I34" s="31" t="n">
        <x:v>46344</x:v>
      </x:c>
      <x:c r="J34" s="26" t="n">
        <x:f>IF(OR(H34="",I34=""),"",I34-H34+1)</x:f>
        <x:v>10</x:v>
      </x:c>
      <x:c r="K34" s="26" t="str">
        <x:v>LID-SCP-004, LID-REF-007, LID-OPS-010, LID-OPS-011, LID-OPS-013, LID-OPS-018</x:v>
      </x:c>
      <x:c r="L34" s="26" t="str">
        <x:v>ENG-R4-001</x:v>
      </x:c>
      <x:c r="M34" s="26" t="str">
        <x:v>https://github.com/arunpr614/Life-Reflection/blob/main/docs/product/releases/PRD-R4-SOURCE-HISTORY-LIFECYCLE.md</x:v>
      </x:c>
      <x:c r="N34" s="26" t="str">
        <x:v>https://github.com/arunpr614/Life-Reflection/blob/main/docs/council/UX-DESIGN-REVIEW.md</x:v>
      </x:c>
      <x:c r="O34" s="26" t="str">
        <x:v>https://github.com/arunpr614/Life-Reflection/blob/main/docs/architecture/PHASE1-IMPLEMENTATION-PLAN.md</x:v>
      </x:c>
      <x:c r="P34" s="26" t="str">
        <x:v>Implement 30-day Trash, restoration/permanent deletion, suppressions, complete encrypted export, cleanup, and import validation.</x:v>
      </x:c>
      <x:c r="Q34" s="26" t="str">
        <x:v>Merged implementation, tests, migration evidence, sanitized deployment record, and no-regression proof are linked.</x:v>
      </x:c>
      <x:c r="R34" s="26" t="str">
        <x:v>Adds revision, Correction, conflict, Trash, suppression, and export state; migration must be reversible and backup/restore coverage must pass before release acceptance.</x:v>
      </x:c>
      <x:c r="S34" s="26" t="str">
        <x:v>Move to Done only when the named task evidence exists; prototype or document intent cannot prove implementation or release completion.</x:v>
      </x:c>
      <x:c r="T34" s="26" t="str">
        <x:v>https://github.com/arunpr614/Life-Reflection/issues/30</x:v>
      </x:c>
    </x:row>
    <x:row r="35" ht="78" customHeight="1">
      <x:c r="A35" s="26" t="str">
        <x:v>REL-R4-001</x:v>
      </x:c>
      <x:c r="B35" s="26" t="str">
        <x:v>Lifecycle/Export Restore Acceptance</x:v>
      </x:c>
      <x:c r="C35" s="26" t="str">
        <x:v>Backlog</x:v>
      </x:c>
      <x:c r="D35" s="26" t="str">
        <x:v>R4</x:v>
      </x:c>
      <x:c r="E35" s="26" t="str">
        <x:v>Release acceptance</x:v>
      </x:c>
      <x:c r="F35" s="26" t="str">
        <x:v>Project Manager</x:v>
      </x:c>
      <x:c r="G35" s="26" t="str">
        <x:v>High</x:v>
      </x:c>
      <x:c r="H35" s="31" t="n">
        <x:v>46345</x:v>
      </x:c>
      <x:c r="I35" s="31" t="n">
        <x:v>46346</x:v>
      </x:c>
      <x:c r="J35" s="26" t="n">
        <x:f>IF(OR(H35="",I35=""),"",I35-H35+1)</x:f>
        <x:v>2</x:v>
      </x:c>
      <x:c r="K35" s="26" t="str">
        <x:v>LID-SCP-004, LID-SRC-001, LID-SRC-002, LID-SRC-004, LID-REF-007, LID-OPS-010, LID-OPS-011, LID-OPS-013, LID-OPS-018</x:v>
      </x:c>
      <x:c r="L35" s="26" t="str">
        <x:v>ENG-R4-001, ENG-R4-002</x:v>
      </x:c>
      <x:c r="M35" s="26" t="str">
        <x:v>https://github.com/arunpr614/Life-Reflection/blob/main/docs/product/releases/PRD-R4-SOURCE-HISTORY-LIFECYCLE.md</x:v>
      </x:c>
      <x:c r="N35" s="26" t="str">
        <x:v>https://github.com/arunpr614/Life-Reflection/blob/main/docs/council/UX-DESIGN-REVIEW.md</x:v>
      </x:c>
      <x:c r="O35" s="26" t="str">
        <x:v>https://github.com/arunpr614/Life-Reflection/blob/main/docs/architecture/PHASE1-IMPLEMENTATION-PLAN.md</x:v>
      </x:c>
      <x:c r="P35" s="26" t="str">
        <x:v>Verify conflict outcomes, deletion/restoration, day visibility, suppression, export completeness, import/restore, and rollback.</x:v>
      </x:c>
      <x:c r="Q35" s="26" t="str">
        <x:v>Release checklist, owner walkthrough, backup/restore evidence for new shapes, rollback result, defect gate, and go/no-go record are linked.</x:v>
      </x:c>
      <x:c r="R35" s="26" t="str">
        <x:v>Validates rollback and restore for every persistent shape introduced by the milestone; acceptance never substitutes a successful backup upload for restore evidence.</x:v>
      </x:c>
      <x:c r="S35" s="26" t="str">
        <x:v>Move to Done only when the named task evidence exists; prototype or document intent cannot prove implementation or release completion.</x:v>
      </x:c>
      <x:c r="T35" s="26" t="str">
        <x:v>https://github.com/arunpr614/Life-Reflection/issues/31</x:v>
      </x:c>
    </x:row>
    <x:row r="36" ht="78" customHeight="1">
      <x:c r="A36" s="26" t="str">
        <x:v>SPK-R5-001</x:v>
      </x:c>
      <x:c r="B36" s="26" t="str">
        <x:v>VoiceNotes Synthetic Contract Spike</x:v>
      </x:c>
      <x:c r="C36" s="26" t="str">
        <x:v>Backlog</x:v>
      </x:c>
      <x:c r="D36" s="26" t="str">
        <x:v>R5</x:v>
      </x:c>
      <x:c r="E36" s="26" t="str">
        <x:v>Spike</x:v>
      </x:c>
      <x:c r="F36" s="26" t="str">
        <x:v>Technical Architect</x:v>
      </x:c>
      <x:c r="G36" s="26" t="str">
        <x:v>High</x:v>
      </x:c>
      <x:c r="H36" s="31" t="n">
        <x:v>46349</x:v>
      </x:c>
      <x:c r="I36" s="31" t="n">
        <x:v>46351</x:v>
      </x:c>
      <x:c r="J36" s="26" t="n">
        <x:f>IF(OR(H36="",I36=""),"",I36-H36+1)</x:f>
        <x:v>3</x:v>
      </x:c>
      <x:c r="K36" s="26" t="str">
        <x:v>LID-VN-001, LID-VN-002, LID-VN-003, LID-VN-004, LID-VN-005</x:v>
      </x:c>
      <x:c r="L36" s="26" t="str">
        <x:v>REL-R4-001</x:v>
      </x:c>
      <x:c r="M36" s="26" t="str">
        <x:v>https://github.com/arunpr614/Life-Reflection/blob/main/docs/product/releases/PRD-R5-PROSPECTIVE-VOICENOTES-SYNC.md</x:v>
      </x:c>
      <x:c r="N36" s="26" t="str">
        <x:v>https://github.com/arunpr614/Life-Reflection/blob/main/docs/council/UX-DESIGN-REVIEW.md</x:v>
      </x:c>
      <x:c r="O36" s="26" t="str">
        <x:v>https://github.com/arunpr614/Life-Reflection/blob/main/docs/architecture/PHASE1-IMPLEMENTATION-PLAN.md</x:v>
      </x:c>
      <x:c r="P36" s="26" t="str">
        <x:v>Prove exact note/revision identity, unattended authorization, authoritative retrieval, tag/date/transcript, wakeups, reconciliation, and failure behavior using synthetic data.</x:v>
      </x:c>
      <x:c r="Q36" s="26" t="str">
        <x:v>Synthetic VoiceNotes contract report proves identity, OAuth renewal, authoritative retrieval, tag/date/transcript, replay, reconciliation, and failure behavior.</x:v>
      </x:c>
      <x:c r="R36" s="26" t="str">
        <x:v>No personal-data mutation is authorized by this task; it must define or prove reversible deployment and recovery before dependent implementation.</x:v>
      </x:c>
      <x:c r="S36" s="26" t="str">
        <x:v>Move to Done only when the named task evidence exists; prototype or document intent cannot prove implementation or release completion.</x:v>
      </x:c>
      <x:c r="T36" s="26" t="str">
        <x:v>https://github.com/arunpr614/Life-Reflection/issues/32</x:v>
      </x:c>
    </x:row>
    <x:row r="37" ht="78" customHeight="1">
      <x:c r="A37" s="26" t="str">
        <x:v>PRD-R5-001</x:v>
      </x:c>
      <x:c r="B37" s="26" t="str">
        <x:v>VoiceNotes PRD</x:v>
      </x:c>
      <x:c r="C37" s="26" t="str">
        <x:v>Done</x:v>
      </x:c>
      <x:c r="D37" s="26" t="str">
        <x:v>R5</x:v>
      </x:c>
      <x:c r="E37" s="26" t="str">
        <x:v>Product definition</x:v>
      </x:c>
      <x:c r="F37" s="26" t="str">
        <x:v>Product Manager</x:v>
      </x:c>
      <x:c r="G37" s="26" t="str">
        <x:v>High</x:v>
      </x:c>
      <x:c r="H37" s="31" t="n">
        <x:v>46349</x:v>
      </x:c>
      <x:c r="I37" s="31" t="n">
        <x:v>46353</x:v>
      </x:c>
      <x:c r="J37" s="26" t="n">
        <x:f>IF(OR(H37="",I37=""),"",I37-H37+1)</x:f>
        <x:v>5</x:v>
      </x:c>
      <x:c r="K37" s="26" t="str">
        <x:v>LID-VN-001, LID-VN-002, LID-VN-003, LID-VN-004, LID-VN-005, LID-VN-006, LID-VN-007, LID-OPS-011, LID-OPS-015, LID-OPS-018</x:v>
      </x:c>
      <x:c r="L37" s="26" t="str">
        <x:v>PC-001</x:v>
      </x:c>
      <x:c r="M37" s="26" t="str">
        <x:v>https://github.com/arunpr614/Life-Reflection/blob/main/docs/product/releases/PRD-R5-PROSPECTIVE-VOICENOTES-SYNC.md</x:v>
      </x:c>
      <x:c r="N37" s="26" t="str">
        <x:v>https://github.com/arunpr614/Life-Reflection/blob/main/docs/council/UX-DESIGN-REVIEW.md</x:v>
      </x:c>
      <x:c r="O37" s="26" t="str">
        <x:v>https://github.com/arunpr614/Life-Reflection/blob/main/docs/architecture/PHASE1-IMPLEMENTATION-PLAN.md</x:v>
      </x:c>
      <x:c r="P37" s="26" t="str">
        <x:v>Define spike-gated prospective eligibility, activation, dating, reconciliation, revisions, suppression, and lifecycle behavior.</x:v>
      </x:c>
      <x:c r="Q37" s="26" t="str">
        <x:v>Release document docs/product/releases/PRD-R5-PROSPECTIVE-VOICENOTES-SYNC.md exists, passes link/requirement validation, and states owner approval as a separate release gate.</x:v>
      </x:c>
      <x:c r="R37" s="26" t="str">
        <x:v>Planning evidence only; no production data mutation. Any later implementation still needs its own migration, restore, and rollback proof.</x:v>
      </x:c>
      <x:c r="S37" s="26" t="str">
        <x:v>This planning artifact is complete; it does not claim feature implementation, deployment, production readiness, or release acceptance.</x:v>
      </x:c>
      <x:c r="T37" s="26" t="str">
        <x:v>https://github.com/arunpr614/Life-Reflection/issues/33</x:v>
      </x:c>
    </x:row>
    <x:row r="38" ht="78" customHeight="1">
      <x:c r="A38" s="26" t="str">
        <x:v>UX-R5-001</x:v>
      </x:c>
      <x:c r="B38" s="26" t="str">
        <x:v>Integration/Reconciliation/Lifecycle Designs</x:v>
      </x:c>
      <x:c r="C38" s="26" t="str">
        <x:v>Backlog</x:v>
      </x:c>
      <x:c r="D38" s="26" t="str">
        <x:v>R5</x:v>
      </x:c>
      <x:c r="E38" s="26" t="str">
        <x:v>Design</x:v>
      </x:c>
      <x:c r="F38" s="26" t="str">
        <x:v>UI/UX Designer</x:v>
      </x:c>
      <x:c r="G38" s="26" t="str">
        <x:v>High</x:v>
      </x:c>
      <x:c r="H38" s="31" t="n">
        <x:v>46350</x:v>
      </x:c>
      <x:c r="I38" s="31" t="n">
        <x:v>46353</x:v>
      </x:c>
      <x:c r="J38" s="26" t="n">
        <x:f>IF(OR(H38="",I38=""),"",I38-H38+1)</x:f>
        <x:v>4</x:v>
      </x:c>
      <x:c r="K38" s="26" t="str">
        <x:v>LID-VN-002, LID-VN-003, LID-VN-004, LID-VN-005, LID-VN-006, LID-VN-007, LID-OPS-015</x:v>
      </x:c>
      <x:c r="L38" s="26" t="str">
        <x:v>PRD-R5-001, SPK-R5-001</x:v>
      </x:c>
      <x:c r="M38" s="26" t="str">
        <x:v>https://github.com/arunpr614/Life-Reflection/blob/main/docs/product/releases/PRD-R5-PROSPECTIVE-VOICENOTES-SYNC.md</x:v>
      </x:c>
      <x:c r="N38" s="26" t="str">
        <x:v>https://github.com/arunpr614/Life-Reflection/blob/main/docs/council/UX-DESIGN-REVIEW.md</x:v>
      </x:c>
      <x:c r="O38" s="26" t="str">
        <x:v>https://github.com/arunpr614/Life-Reflection/blob/main/docs/architecture/PHASE1-IMPLEMENTATION-PLAN.md</x:v>
      </x:c>
      <x:c r="P38" s="26" t="str">
        <x:v>Design activation, integration health, Date Review, reconciliation, upstream revision/conflict, suppression, and re-import states.</x:v>
      </x:c>
      <x:c r="Q38" s="26" t="str">
        <x:v>Release-specific flows, empty/loading/error/destructive states, responsive behavior, keyboard/screen-reader notes, and design sign-off are linked.</x:v>
      </x:c>
      <x:c r="R38" s="26" t="str">
        <x:v>Planning evidence only; no production data mutation. Any later implementation still needs its own migration, restore, and rollback proof.</x:v>
      </x:c>
      <x:c r="S38" s="26" t="str">
        <x:v>Move to Done only when the named task evidence exists; prototype or document intent cannot prove implementation or release completion.</x:v>
      </x:c>
      <x:c r="T38" s="26" t="str">
        <x:v>https://github.com/arunpr614/Life-Reflection/issues/34</x:v>
      </x:c>
    </x:row>
    <x:row r="39" ht="78" customHeight="1">
      <x:c r="A39" s="26" t="str">
        <x:v>ARCH-R5-001</x:v>
      </x:c>
      <x:c r="B39" s="26" t="str">
        <x:v>VoiceNotes Adapter &amp; Reconciliation Contract</x:v>
      </x:c>
      <x:c r="C39" s="26" t="str">
        <x:v>Backlog</x:v>
      </x:c>
      <x:c r="D39" s="26" t="str">
        <x:v>R5</x:v>
      </x:c>
      <x:c r="E39" s="26" t="str">
        <x:v>Architecture</x:v>
      </x:c>
      <x:c r="F39" s="26" t="str">
        <x:v>Technical Architect</x:v>
      </x:c>
      <x:c r="G39" s="26" t="str">
        <x:v>High</x:v>
      </x:c>
      <x:c r="H39" s="31" t="n">
        <x:v>46350</x:v>
      </x:c>
      <x:c r="I39" s="31" t="n">
        <x:v>46353</x:v>
      </x:c>
      <x:c r="J39" s="26" t="n">
        <x:f>IF(OR(H39="",I39=""),"",I39-H39+1)</x:f>
        <x:v>4</x:v>
      </x:c>
      <x:c r="K39" s="26" t="str">
        <x:v>LID-VN-001, LID-VN-002, LID-VN-003, LID-VN-004, LID-VN-005, LID-VN-006, LID-VN-007, LID-OPS-011, LID-OPS-015, LID-OPS-018</x:v>
      </x:c>
      <x:c r="L39" s="26" t="str">
        <x:v>PRD-R5-001, SPK-R5-001, REL-R4-001</x:v>
      </x:c>
      <x:c r="M39" s="26" t="str">
        <x:v>https://github.com/arunpr614/Life-Reflection/blob/main/docs/product/releases/PRD-R5-PROSPECTIVE-VOICENOTES-SYNC.md</x:v>
      </x:c>
      <x:c r="N39" s="26" t="str">
        <x:v>https://github.com/arunpr614/Life-Reflection/blob/main/docs/council/UX-DESIGN-REVIEW.md</x:v>
      </x:c>
      <x:c r="O39" s="26" t="str">
        <x:v>https://github.com/arunpr614/Life-Reflection/blob/main/docs/architecture/PHASE1-IMPLEMENTATION-PLAN.md</x:v>
      </x:c>
      <x:c r="P39" s="26" t="str">
        <x:v>Freeze the spike-proven adapter, opaque identities, authorization renewal, fail-closed paging, durable jobs, reconciliation, and restore design.</x:v>
      </x:c>
      <x:c r="Q39" s="26" t="str">
        <x:v>Approved ADRs, threat/data-flow diagrams, capacity assumptions, migration/rollback design, and restore contract are linked.</x:v>
      </x:c>
      <x:c r="R39" s="26" t="str">
        <x:v>No personal-data mutation is authorized by this task; it must define or prove reversible deployment and recovery before dependent implementation.</x:v>
      </x:c>
      <x:c r="S39" s="26" t="str">
        <x:v>Move to Done only when the named task evidence exists; prototype or document intent cannot prove implementation or release completion.</x:v>
      </x:c>
      <x:c r="T39" s="26" t="str">
        <x:v>https://github.com/arunpr614/Life-Reflection/issues/35</x:v>
      </x:c>
    </x:row>
    <x:row r="40" ht="78" customHeight="1">
      <x:c r="A40" s="26" t="str">
        <x:v>ENG-R5-001</x:v>
      </x:c>
      <x:c r="B40" s="26" t="str">
        <x:v>Prospective Import &amp; Revisions</x:v>
      </x:c>
      <x:c r="C40" s="26" t="str">
        <x:v>Backlog</x:v>
      </x:c>
      <x:c r="D40" s="26" t="str">
        <x:v>R5</x:v>
      </x:c>
      <x:c r="E40" s="26" t="str">
        <x:v>Implementation</x:v>
      </x:c>
      <x:c r="F40" s="26" t="str">
        <x:v>Engineering</x:v>
      </x:c>
      <x:c r="G40" s="26" t="str">
        <x:v>High</x:v>
      </x:c>
      <x:c r="H40" s="31" t="n">
        <x:v>46352</x:v>
      </x:c>
      <x:c r="I40" s="31" t="n">
        <x:v>46365</x:v>
      </x:c>
      <x:c r="J40" s="26" t="n">
        <x:f>IF(OR(H40="",I40=""),"",I40-H40+1)</x:f>
        <x:v>14</x:v>
      </x:c>
      <x:c r="K40" s="26" t="str">
        <x:v>LID-VN-001, LID-VN-002, LID-VN-003, LID-VN-004, LID-VN-005, LID-VN-006, LID-VN-007, LID-OPS-011, LID-OPS-015, LID-OPS-018</x:v>
      </x:c>
      <x:c r="L40" s="26" t="str">
        <x:v>UX-R5-001, ARCH-R5-001, REL-R4-001</x:v>
      </x:c>
      <x:c r="M40" s="26" t="str">
        <x:v>https://github.com/arunpr614/Life-Reflection/blob/main/docs/product/releases/PRD-R5-PROSPECTIVE-VOICENOTES-SYNC.md</x:v>
      </x:c>
      <x:c r="N40" s="26" t="str">
        <x:v>https://github.com/arunpr614/Life-Reflection/blob/main/docs/council/UX-DESIGN-REVIEW.md</x:v>
      </x:c>
      <x:c r="O40" s="26" t="str">
        <x:v>https://github.com/arunpr614/Life-Reflection/blob/main/docs/architecture/PHASE1-IMPLEMENTATION-PLAN.md</x:v>
      </x:c>
      <x:c r="P40" s="26" t="str">
        <x:v>Implement exact post-activation import, creation-time dating/review, replay-safe reconciliation, revisions, upstream status, suppression, and alerts.</x:v>
      </x:c>
      <x:c r="Q40" s="26" t="str">
        <x:v>Merged implementation, tests, migration evidence, sanitized deployment record, and no-regression proof are linked.</x:v>
      </x:c>
      <x:c r="R40" s="26" t="str">
        <x:v>Adds VoiceNotes identity, activation, revision, reconciliation, and suppression state; migration must be reversible and backup/restore coverage must pass before release acceptance.</x:v>
      </x:c>
      <x:c r="S40" s="26" t="str">
        <x:v>Move to Done only when the named task evidence exists; prototype or document intent cannot prove implementation or release completion.</x:v>
      </x:c>
      <x:c r="T40" s="26" t="str">
        <x:v>https://github.com/arunpr614/Life-Reflection/issues/36</x:v>
      </x:c>
    </x:row>
    <x:row r="41" ht="78" customHeight="1">
      <x:c r="A41" s="26" t="str">
        <x:v>REL-R5-001</x:v>
      </x:c>
      <x:c r="B41" s="26" t="str">
        <x:v>Replay/Suppression/Restore Acceptance</x:v>
      </x:c>
      <x:c r="C41" s="26" t="str">
        <x:v>Backlog</x:v>
      </x:c>
      <x:c r="D41" s="26" t="str">
        <x:v>R5</x:v>
      </x:c>
      <x:c r="E41" s="26" t="str">
        <x:v>Release acceptance</x:v>
      </x:c>
      <x:c r="F41" s="26" t="str">
        <x:v>Project Manager</x:v>
      </x:c>
      <x:c r="G41" s="26" t="str">
        <x:v>High</x:v>
      </x:c>
      <x:c r="H41" s="31" t="n">
        <x:v>46366</x:v>
      </x:c>
      <x:c r="I41" s="31" t="n">
        <x:v>46367</x:v>
      </x:c>
      <x:c r="J41" s="26" t="n">
        <x:f>IF(OR(H41="",I41=""),"",I41-H41+1)</x:f>
        <x:v>2</x:v>
      </x:c>
      <x:c r="K41" s="26" t="str">
        <x:v>LID-VN-001, LID-VN-002, LID-VN-003, LID-VN-004, LID-VN-005, LID-VN-006, LID-VN-007, LID-OPS-011, LID-OPS-015, LID-OPS-018</x:v>
      </x:c>
      <x:c r="L41" s="26" t="str">
        <x:v>ENG-R5-001</x:v>
      </x:c>
      <x:c r="M41" s="26" t="str">
        <x:v>https://github.com/arunpr614/Life-Reflection/blob/main/docs/product/releases/PRD-R5-PROSPECTIVE-VOICENOTES-SYNC.md</x:v>
      </x:c>
      <x:c r="N41" s="26" t="str">
        <x:v>https://github.com/arunpr614/Life-Reflection/blob/main/docs/council/UX-DESIGN-REVIEW.md</x:v>
      </x:c>
      <x:c r="O41" s="26" t="str">
        <x:v>https://github.com/arunpr614/Life-Reflection/blob/main/docs/architecture/PHASE1-IMPLEMENTATION-PLAN.md</x:v>
      </x:c>
      <x:c r="P41" s="26" t="str">
        <x:v>Verify activation boundaries, missed/duplicate/out-of-order replay, revisions, suppression/re-import, integration failure isolation, restore, and rollback.</x:v>
      </x:c>
      <x:c r="Q41" s="26" t="str">
        <x:v>Release checklist, owner walkthrough, backup/restore evidence for new shapes, rollback result, defect gate, and go/no-go record are linked.</x:v>
      </x:c>
      <x:c r="R41" s="26" t="str">
        <x:v>Validates rollback and restore for every persistent shape introduced by the milestone; acceptance never substitutes a successful backup upload for restore evidence.</x:v>
      </x:c>
      <x:c r="S41" s="26" t="str">
        <x:v>Move to Done only when the named task evidence exists; prototype or document intent cannot prove implementation or release completion.</x:v>
      </x:c>
      <x:c r="T41" s="26" t="str">
        <x:v>https://github.com/arunpr614/Life-Reflection/issues/37</x:v>
      </x:c>
    </x:row>
    <x:row r="42" ht="78" customHeight="1">
      <x:c r="A42" s="26" t="str">
        <x:v>EVAL-R6-001</x:v>
      </x:c>
      <x:c r="B42" s="26" t="str">
        <x:v>Text Model Evaluation</x:v>
      </x:c>
      <x:c r="C42" s="26" t="str">
        <x:v>Backlog</x:v>
      </x:c>
      <x:c r="D42" s="26" t="str">
        <x:v>R6</x:v>
      </x:c>
      <x:c r="E42" s="26" t="str">
        <x:v>Evaluation</x:v>
      </x:c>
      <x:c r="F42" s="26" t="str">
        <x:v>Product Manager + Technical Architect</x:v>
      </x:c>
      <x:c r="G42" s="26" t="str">
        <x:v>Medium</x:v>
      </x:c>
      <x:c r="H42" s="31" t="n">
        <x:v>46370</x:v>
      </x:c>
      <x:c r="I42" s="31" t="n">
        <x:v>46374</x:v>
      </x:c>
      <x:c r="J42" s="26" t="n">
        <x:f>IF(OR(H42="",I42=""),"",I42-H42+1)</x:f>
        <x:v>5</x:v>
      </x:c>
      <x:c r="K42" s="26" t="str">
        <x:v>LID-AIT-001, LID-AIT-002, LID-AIT-003, LID-AIT-006, LID-AIT-007, LID-OPS-017</x:v>
      </x:c>
      <x:c r="L42" s="26" t="str">
        <x:v>REL-R5-001</x:v>
      </x:c>
      <x:c r="M42" s="26" t="str">
        <x:v>https://github.com/arunpr614/Life-Reflection/blob/main/docs/product/releases/PRD-R6-GENERATED-TEXT-REFLECTION.md</x:v>
      </x:c>
      <x:c r="N42" s="26" t="str">
        <x:v>https://github.com/arunpr614/Life-Reflection/blob/main/docs/council/UX-DESIGN-REVIEW.md</x:v>
      </x:c>
      <x:c r="O42" s="26" t="str">
        <x:v>https://github.com/arunpr614/Life-Reflection/blob/main/docs/architecture/PHASE1-IMPLEMENTATION-PLAN.md</x:v>
      </x:c>
      <x:c r="P42" s="26" t="str">
        <x:v>Evaluate exact text provider/model snapshots against privacy, fidelity, schema, language, latency, and measured-cost hard gates.</x:v>
      </x:c>
      <x:c r="Q42" s="26" t="str">
        <x:v>Signed evaluation report records fixtures, hard-gate outcomes, exact provider/model snapshot, measured cost, and decision.</x:v>
      </x:c>
      <x:c r="R42" s="26" t="str">
        <x:v>Planning evidence only; no production data mutation. Any later implementation still needs its own migration, restore, and rollback proof.</x:v>
      </x:c>
      <x:c r="S42" s="26" t="str">
        <x:v>Move to Done only when the named task evidence exists; prototype or document intent cannot prove implementation or release completion.</x:v>
      </x:c>
      <x:c r="T42" s="26" t="str">
        <x:v>https://github.com/arunpr614/Life-Reflection/issues/38</x:v>
      </x:c>
    </x:row>
    <x:row r="43" ht="78" customHeight="1">
      <x:c r="A43" s="26" t="str">
        <x:v>PRD-R6-001</x:v>
      </x:c>
      <x:c r="B43" s="26" t="str">
        <x:v>Generated Text PRD</x:v>
      </x:c>
      <x:c r="C43" s="26" t="str">
        <x:v>Done</x:v>
      </x:c>
      <x:c r="D43" s="26" t="str">
        <x:v>R6</x:v>
      </x:c>
      <x:c r="E43" s="26" t="str">
        <x:v>Product definition</x:v>
      </x:c>
      <x:c r="F43" s="26" t="str">
        <x:v>Product Manager</x:v>
      </x:c>
      <x:c r="G43" s="26" t="str">
        <x:v>Medium</x:v>
      </x:c>
      <x:c r="H43" s="31" t="n">
        <x:v>46370</x:v>
      </x:c>
      <x:c r="I43" s="31" t="n">
        <x:v>46374</x:v>
      </x:c>
      <x:c r="J43" s="26" t="n">
        <x:f>IF(OR(H43="",I43=""),"",I43-H43+1)</x:f>
        <x:v>5</x:v>
      </x:c>
      <x:c r="K43" s="26" t="str">
        <x:v>LID-AIT-001, LID-AIT-002, LID-AIT-003, LID-AIT-004, LID-AIT-005, LID-AIT-006, LID-AIT-007, LID-REF-006, LID-OPS-011, LID-OPS-017, LID-OPS-018</x:v>
      </x:c>
      <x:c r="L43" s="26" t="str">
        <x:v>PC-001</x:v>
      </x:c>
      <x:c r="M43" s="26" t="str">
        <x:v>https://github.com/arunpr614/Life-Reflection/blob/main/docs/product/releases/PRD-R6-GENERATED-TEXT-REFLECTION.md</x:v>
      </x:c>
      <x:c r="N43" s="26" t="str">
        <x:v>https://github.com/arunpr614/Life-Reflection/blob/main/docs/council/UX-DESIGN-REVIEW.md</x:v>
      </x:c>
      <x:c r="O43" s="26" t="str">
        <x:v>https://github.com/arunpr614/Life-Reflection/blob/main/docs/architecture/PHASE1-IMPLEMENTATION-PLAN.md</x:v>
      </x:c>
      <x:c r="P43" s="26" t="str">
        <x:v>Define evaluated optional text derivation, typed inputs, quiet/final refresh, protection, provenance, failures, and budgets.</x:v>
      </x:c>
      <x:c r="Q43" s="26" t="str">
        <x:v>Release document docs/product/releases/PRD-R6-GENERATED-TEXT-REFLECTION.md exists, passes link/requirement validation, and states owner approval as a separate release gate.</x:v>
      </x:c>
      <x:c r="R43" s="26" t="str">
        <x:v>Planning evidence only; no production data mutation. Any later implementation still needs its own migration, restore, and rollback proof.</x:v>
      </x:c>
      <x:c r="S43" s="26" t="str">
        <x:v>This planning artifact is complete; it does not claim feature implementation, deployment, production readiness, or release acceptance.</x:v>
      </x:c>
      <x:c r="T43" s="26" t="str">
        <x:v>https://github.com/arunpr614/Life-Reflection/issues/39</x:v>
      </x:c>
    </x:row>
    <x:row r="44" ht="78" customHeight="1">
      <x:c r="A44" s="26" t="str">
        <x:v>UX-R6-001</x:v>
      </x:c>
      <x:c r="B44" s="26" t="str">
        <x:v>Text/Provider/Budget States</x:v>
      </x:c>
      <x:c r="C44" s="26" t="str">
        <x:v>Backlog</x:v>
      </x:c>
      <x:c r="D44" s="26" t="str">
        <x:v>R6</x:v>
      </x:c>
      <x:c r="E44" s="26" t="str">
        <x:v>Design</x:v>
      </x:c>
      <x:c r="F44" s="26" t="str">
        <x:v>UI/UX Designer</x:v>
      </x:c>
      <x:c r="G44" s="26" t="str">
        <x:v>Medium</x:v>
      </x:c>
      <x:c r="H44" s="31" t="n">
        <x:v>46372</x:v>
      </x:c>
      <x:c r="I44" s="31" t="n">
        <x:v>46378</x:v>
      </x:c>
      <x:c r="J44" s="26" t="n">
        <x:f>IF(OR(H44="",I44=""),"",I44-H44+1)</x:f>
        <x:v>7</x:v>
      </x:c>
      <x:c r="K44" s="26" t="str">
        <x:v>LID-AIT-002, LID-AIT-003, LID-AIT-004, LID-AIT-005, LID-AIT-007, LID-REF-006, LID-OPS-017</x:v>
      </x:c>
      <x:c r="L44" s="26" t="str">
        <x:v>PRD-R6-001, EVAL-R6-001</x:v>
      </x:c>
      <x:c r="M44" s="26" t="str">
        <x:v>https://github.com/arunpr614/Life-Reflection/blob/main/docs/product/releases/PRD-R6-GENERATED-TEXT-REFLECTION.md</x:v>
      </x:c>
      <x:c r="N44" s="26" t="str">
        <x:v>https://github.com/arunpr614/Life-Reflection/blob/main/docs/council/UX-DESIGN-REVIEW.md</x:v>
      </x:c>
      <x:c r="O44" s="26" t="str">
        <x:v>https://github.com/arunpr614/Life-Reflection/blob/main/docs/architecture/PHASE1-IMPLEMENTATION-PLAN.md</x:v>
      </x:c>
      <x:c r="P44" s="26" t="str">
        <x:v>Design title/summary/tag/brief review, field protection, stale suggestions, provenance, provider health, budget, and failure states.</x:v>
      </x:c>
      <x:c r="Q44" s="26" t="str">
        <x:v>Release-specific flows, empty/loading/error/destructive states, responsive behavior, keyboard/screen-reader notes, and design sign-off are linked.</x:v>
      </x:c>
      <x:c r="R44" s="26" t="str">
        <x:v>Planning evidence only; no production data mutation. Any later implementation still needs its own migration, restore, and rollback proof.</x:v>
      </x:c>
      <x:c r="S44" s="26" t="str">
        <x:v>Move to Done only when the named task evidence exists; prototype or document intent cannot prove implementation or release completion.</x:v>
      </x:c>
      <x:c r="T44" s="26" t="str">
        <x:v>https://github.com/arunpr614/Life-Reflection/issues/40</x:v>
      </x:c>
    </x:row>
    <x:row r="45" ht="78" customHeight="1">
      <x:c r="A45" s="26" t="str">
        <x:v>ARCH-R6-001</x:v>
      </x:c>
      <x:c r="B45" s="26" t="str">
        <x:v>Text Adapter/Jobs/Budget/Provenance</x:v>
      </x:c>
      <x:c r="C45" s="26" t="str">
        <x:v>Backlog</x:v>
      </x:c>
      <x:c r="D45" s="26" t="str">
        <x:v>R6</x:v>
      </x:c>
      <x:c r="E45" s="26" t="str">
        <x:v>Architecture</x:v>
      </x:c>
      <x:c r="F45" s="26" t="str">
        <x:v>Technical Architect</x:v>
      </x:c>
      <x:c r="G45" s="26" t="str">
        <x:v>Medium</x:v>
      </x:c>
      <x:c r="H45" s="31" t="n">
        <x:v>46372</x:v>
      </x:c>
      <x:c r="I45" s="31" t="n">
        <x:v>46378</x:v>
      </x:c>
      <x:c r="J45" s="26" t="n">
        <x:f>IF(OR(H45="",I45=""),"",I45-H45+1)</x:f>
        <x:v>7</x:v>
      </x:c>
      <x:c r="K45" s="26" t="str">
        <x:v>LID-AIT-001, LID-AIT-002, LID-AIT-003, LID-AIT-004, LID-AIT-005, LID-AIT-006, LID-AIT-007, LID-REF-006, LID-OPS-011, LID-OPS-017, LID-OPS-018</x:v>
      </x:c>
      <x:c r="L45" s="26" t="str">
        <x:v>PRD-R6-001, EVAL-R6-001, REL-R5-001</x:v>
      </x:c>
      <x:c r="M45" s="26" t="str">
        <x:v>https://github.com/arunpr614/Life-Reflection/blob/main/docs/product/releases/PRD-R6-GENERATED-TEXT-REFLECTION.md</x:v>
      </x:c>
      <x:c r="N45" s="26" t="str">
        <x:v>https://github.com/arunpr614/Life-Reflection/blob/main/docs/council/UX-DESIGN-REVIEW.md</x:v>
      </x:c>
      <x:c r="O45" s="26" t="str">
        <x:v>https://github.com/arunpr614/Life-Reflection/blob/main/docs/architecture/PHASE1-IMPLEMENTATION-PLAN.md</x:v>
      </x:c>
      <x:c r="P45" s="26" t="str">
        <x:v>Define typed allowlist serialization, exact adapter configuration, source-race-safe jobs, independent protection, provenance, usage ledger, and restore.</x:v>
      </x:c>
      <x:c r="Q45" s="26" t="str">
        <x:v>Approved ADRs, threat/data-flow diagrams, capacity assumptions, migration/rollback design, and restore contract are linked.</x:v>
      </x:c>
      <x:c r="R45" s="26" t="str">
        <x:v>No personal-data mutation is authorized by this task; it must define or prove reversible deployment and recovery before dependent implementation.</x:v>
      </x:c>
      <x:c r="S45" s="26" t="str">
        <x:v>Move to Done only when the named task evidence exists; prototype or document intent cannot prove implementation or release completion.</x:v>
      </x:c>
      <x:c r="T45" s="26" t="str">
        <x:v>https://github.com/arunpr614/Life-Reflection/issues/41</x:v>
      </x:c>
    </x:row>
    <x:row r="46" ht="78" customHeight="1">
      <x:c r="A46" s="26" t="str">
        <x:v>ENG-R6-001</x:v>
      </x:c>
      <x:c r="B46" s="26" t="str">
        <x:v>Text Derivation &amp; Protected Fields</x:v>
      </x:c>
      <x:c r="C46" s="26" t="str">
        <x:v>Backlog</x:v>
      </x:c>
      <x:c r="D46" s="26" t="str">
        <x:v>R6</x:v>
      </x:c>
      <x:c r="E46" s="26" t="str">
        <x:v>Implementation</x:v>
      </x:c>
      <x:c r="F46" s="26" t="str">
        <x:v>Engineering</x:v>
      </x:c>
      <x:c r="G46" s="26" t="str">
        <x:v>Medium</x:v>
      </x:c>
      <x:c r="H46" s="31" t="n">
        <x:v>46377</x:v>
      </x:c>
      <x:c r="I46" s="31" t="n">
        <x:v>46393</x:v>
      </x:c>
      <x:c r="J46" s="26" t="n">
        <x:f>IF(OR(H46="",I46=""),"",I46-H46+1)</x:f>
        <x:v>17</x:v>
      </x:c>
      <x:c r="K46" s="26" t="str">
        <x:v>LID-AIT-001, LID-AIT-002, LID-AIT-003, LID-AIT-004, LID-AIT-005, LID-AIT-006, LID-AIT-007, LID-REF-006, LID-OPS-011, LID-OPS-017, LID-OPS-018</x:v>
      </x:c>
      <x:c r="L46" s="26" t="str">
        <x:v>UX-R6-001, ARCH-R6-001, REL-R5-001</x:v>
      </x:c>
      <x:c r="M46" s="26" t="str">
        <x:v>https://github.com/arunpr614/Life-Reflection/blob/main/docs/product/releases/PRD-R6-GENERATED-TEXT-REFLECTION.md</x:v>
      </x:c>
      <x:c r="N46" s="26" t="str">
        <x:v>https://github.com/arunpr614/Life-Reflection/blob/main/docs/council/UX-DESIGN-REVIEW.md</x:v>
      </x:c>
      <x:c r="O46" s="26" t="str">
        <x:v>https://github.com/arunpr614/Life-Reflection/blob/main/docs/architecture/PHASE1-IMPLEMENTATION-PLAN.md</x:v>
      </x:c>
      <x:c r="P46" s="26" t="str">
        <x:v>Implement evaluated title/summary/tag/Visual Brief derivation, quiet/final refresh, field protection, version choice, provenance, and budget enforcement.</x:v>
      </x:c>
      <x:c r="Q46" s="26" t="str">
        <x:v>Merged implementation, tests, migration evidence, sanitized deployment record, and no-regression proof are linked.</x:v>
      </x:c>
      <x:c r="R46" s="26" t="str">
        <x:v>Adds derived-text versions, protection, provenance, job, and usage-ledger state; migration must be reversible and backup/restore coverage must pass before release acceptance.</x:v>
      </x:c>
      <x:c r="S46" s="26" t="str">
        <x:v>Move to Done only when the named task evidence exists; prototype or document intent cannot prove implementation or release completion.</x:v>
      </x:c>
      <x:c r="T46" s="26" t="str">
        <x:v>https://github.com/arunpr614/Life-Reflection/issues/42</x:v>
      </x:c>
    </x:row>
    <x:row r="47" ht="78" customHeight="1">
      <x:c r="A47" s="26" t="str">
        <x:v>REL-R6-001</x:v>
      </x:c>
      <x:c r="B47" s="26" t="str">
        <x:v>Text Privacy/Quality/Restore Acceptance</x:v>
      </x:c>
      <x:c r="C47" s="26" t="str">
        <x:v>Backlog</x:v>
      </x:c>
      <x:c r="D47" s="26" t="str">
        <x:v>R6</x:v>
      </x:c>
      <x:c r="E47" s="26" t="str">
        <x:v>Release acceptance</x:v>
      </x:c>
      <x:c r="F47" s="26" t="str">
        <x:v>Project Manager</x:v>
      </x:c>
      <x:c r="G47" s="26" t="str">
        <x:v>Medium</x:v>
      </x:c>
      <x:c r="H47" s="31" t="n">
        <x:v>46394</x:v>
      </x:c>
      <x:c r="I47" s="31" t="n">
        <x:v>46395</x:v>
      </x:c>
      <x:c r="J47" s="26" t="n">
        <x:f>IF(OR(H47="",I47=""),"",I47-H47+1)</x:f>
        <x:v>2</x:v>
      </x:c>
      <x:c r="K47" s="26" t="str">
        <x:v>LID-AIT-001, LID-AIT-002, LID-AIT-003, LID-AIT-004, LID-AIT-005, LID-AIT-006, LID-AIT-007, LID-REF-006, LID-OPS-011, LID-OPS-017, LID-OPS-018</x:v>
      </x:c>
      <x:c r="L47" s="26" t="str">
        <x:v>ENG-R6-001</x:v>
      </x:c>
      <x:c r="M47" s="26" t="str">
        <x:v>https://github.com/arunpr614/Life-Reflection/blob/main/docs/product/releases/PRD-R6-GENERATED-TEXT-REFLECTION.md</x:v>
      </x:c>
      <x:c r="N47" s="26" t="str">
        <x:v>https://github.com/arunpr614/Life-Reflection/blob/main/docs/council/UX-DESIGN-REVIEW.md</x:v>
      </x:c>
      <x:c r="O47" s="26" t="str">
        <x:v>https://github.com/arunpr614/Life-Reflection/blob/main/docs/architecture/PHASE1-IMPLEMENTATION-PLAN.md</x:v>
      </x:c>
      <x:c r="P47" s="26" t="str">
        <x:v>Verify hard-gate model quality, photo/caption exclusion, source races, protected fields, failures, monthly ceiling, derived restore, and rollback.</x:v>
      </x:c>
      <x:c r="Q47" s="26" t="str">
        <x:v>Release checklist, owner walkthrough, backup/restore evidence for new shapes, rollback result, defect gate, and go/no-go record are linked.</x:v>
      </x:c>
      <x:c r="R47" s="26" t="str">
        <x:v>Validates rollback and restore for every persistent shape introduced by the milestone; acceptance never substitutes a successful backup upload for restore evidence.</x:v>
      </x:c>
      <x:c r="S47" s="26" t="str">
        <x:v>Move to Done only when the named task evidence exists; prototype or document intent cannot prove implementation or release completion.</x:v>
      </x:c>
      <x:c r="T47" s="26" t="str">
        <x:v>https://github.com/arunpr614/Life-Reflection/issues/43</x:v>
      </x:c>
    </x:row>
    <x:row r="48" ht="78" customHeight="1">
      <x:c r="A48" s="26" t="str">
        <x:v>EVAL-R7-001</x:v>
      </x:c>
      <x:c r="B48" s="26" t="str">
        <x:v>Artwork Model Evaluation</x:v>
      </x:c>
      <x:c r="C48" s="26" t="str">
        <x:v>Backlog</x:v>
      </x:c>
      <x:c r="D48" s="26" t="str">
        <x:v>R7</x:v>
      </x:c>
      <x:c r="E48" s="26" t="str">
        <x:v>Evaluation</x:v>
      </x:c>
      <x:c r="F48" s="26" t="str">
        <x:v>Product Manager + Technical Architect</x:v>
      </x:c>
      <x:c r="G48" s="26" t="str">
        <x:v>Medium</x:v>
      </x:c>
      <x:c r="H48" s="31" t="n">
        <x:v>46398</x:v>
      </x:c>
      <x:c r="I48" s="31" t="n">
        <x:v>46400</x:v>
      </x:c>
      <x:c r="J48" s="26" t="n">
        <x:f>IF(OR(H48="",I48=""),"",I48-H48+1)</x:f>
        <x:v>3</x:v>
      </x:c>
      <x:c r="K48" s="26" t="str">
        <x:v>LID-AIA-001, LID-AIA-003, LID-AIA-005, LID-AIA-006, LID-AIA-011, LID-OPS-017</x:v>
      </x:c>
      <x:c r="L48" s="26" t="str">
        <x:v>REL-R6-001</x:v>
      </x:c>
      <x:c r="M48" s="26" t="str">
        <x:v>https://github.com/arunpr614/Life-Reflection/blob/main/docs/product/releases/PRD-R7-GENERATED-ARTWORK.md</x:v>
      </x:c>
      <x:c r="N48" s="26" t="str">
        <x:v>https://github.com/arunpr614/Life-Reflection/blob/main/docs/council/UX-DESIGN-REVIEW.md</x:v>
      </x:c>
      <x:c r="O48" s="26" t="str">
        <x:v>https://github.com/arunpr614/Life-Reflection/blob/main/docs/architecture/PHASE1-IMPLEMENTATION-PLAN.md</x:v>
      </x:c>
      <x:c r="P48" s="26" t="str">
        <x:v>Evaluate exact artwork provider/model configurations against non-photorealism, safety, quality, latency, cost, and automatic-sweep eligibility gates.</x:v>
      </x:c>
      <x:c r="Q48" s="26" t="str">
        <x:v>Signed evaluation report records fixtures, hard-gate outcomes, exact provider/model snapshot, measured cost, and decision.</x:v>
      </x:c>
      <x:c r="R48" s="26" t="str">
        <x:v>Planning evidence only; no production data mutation. Any later implementation still needs its own migration, restore, and rollback proof.</x:v>
      </x:c>
      <x:c r="S48" s="26" t="str">
        <x:v>Move to Done only when the named task evidence exists; prototype or document intent cannot prove implementation or release completion.</x:v>
      </x:c>
      <x:c r="T48" s="26" t="str">
        <x:v>https://github.com/arunpr614/Life-Reflection/issues/44</x:v>
      </x:c>
    </x:row>
    <x:row r="49" ht="78" customHeight="1">
      <x:c r="A49" s="26" t="str">
        <x:v>PRD-R7-001</x:v>
      </x:c>
      <x:c r="B49" s="26" t="str">
        <x:v>Artwork PRD</x:v>
      </x:c>
      <x:c r="C49" s="26" t="str">
        <x:v>Done</x:v>
      </x:c>
      <x:c r="D49" s="26" t="str">
        <x:v>R7</x:v>
      </x:c>
      <x:c r="E49" s="26" t="str">
        <x:v>Product definition</x:v>
      </x:c>
      <x:c r="F49" s="26" t="str">
        <x:v>Product Manager</x:v>
      </x:c>
      <x:c r="G49" s="26" t="str">
        <x:v>Medium</x:v>
      </x:c>
      <x:c r="H49" s="31" t="n">
        <x:v>46398</x:v>
      </x:c>
      <x:c r="I49" s="31" t="n">
        <x:v>46400</x:v>
      </x:c>
      <x:c r="J49" s="26" t="n">
        <x:f>IF(OR(H49="",I49=""),"",I49-H49+1)</x:f>
        <x:v>3</x:v>
      </x:c>
      <x:c r="K49" s="26" t="str">
        <x:v>LID-AIA-001, LID-AIA-002, LID-AIA-003, LID-AIA-004, LID-AIA-005, LID-AIA-006, LID-AIA-007, LID-AIA-008, LID-AIA-009, LID-AIA-010, LID-AIA-011, LID-REF-006, LID-OPS-011, LID-OPS-017, LID-OPS-018</x:v>
      </x:c>
      <x:c r="L49" s="26" t="str">
        <x:v>PC-001</x:v>
      </x:c>
      <x:c r="M49" s="26" t="str">
        <x:v>https://github.com/arunpr614/Life-Reflection/blob/main/docs/product/releases/PRD-R7-GENERATED-ARTWORK.md</x:v>
      </x:c>
      <x:c r="N49" s="26" t="str">
        <x:v>https://github.com/arunpr614/Life-Reflection/blob/main/docs/council/UX-DESIGN-REVIEW.md</x:v>
      </x:c>
      <x:c r="O49" s="26" t="str">
        <x:v>https://github.com/arunpr614/Life-Reflection/blob/main/docs/architecture/PHASE1-IMPLEMENTATION-PLAN.md</x:v>
      </x:c>
      <x:c r="P49" s="26" t="str">
        <x:v>Define evaluated Visual Brief, manual/sweep generation, safety/failure, labeling, versions, cover precedence, suppression, and configuration.</x:v>
      </x:c>
      <x:c r="Q49" s="26" t="str">
        <x:v>Release document docs/product/releases/PRD-R7-GENERATED-ARTWORK.md exists, passes link/requirement validation, and states owner approval as a separate release gate.</x:v>
      </x:c>
      <x:c r="R49" s="26" t="str">
        <x:v>Planning evidence only; no production data mutation. Any later implementation still needs its own migration, restore, and rollback proof.</x:v>
      </x:c>
      <x:c r="S49" s="26" t="str">
        <x:v>This planning artifact is complete; it does not claim feature implementation, deployment, production readiness, or release acceptance.</x:v>
      </x:c>
      <x:c r="T49" s="26" t="str">
        <x:v>https://github.com/arunpr614/Life-Reflection/issues/45</x:v>
      </x:c>
    </x:row>
    <x:row r="50" ht="78" customHeight="1">
      <x:c r="A50" s="26" t="str">
        <x:v>UX-R7-001</x:v>
      </x:c>
      <x:c r="B50" s="26" t="str">
        <x:v>Artwork/Version/Suppression Designs</x:v>
      </x:c>
      <x:c r="C50" s="26" t="str">
        <x:v>Backlog</x:v>
      </x:c>
      <x:c r="D50" s="26" t="str">
        <x:v>R7</x:v>
      </x:c>
      <x:c r="E50" s="26" t="str">
        <x:v>Design</x:v>
      </x:c>
      <x:c r="F50" s="26" t="str">
        <x:v>UI/UX Designer</x:v>
      </x:c>
      <x:c r="G50" s="26" t="str">
        <x:v>Medium</x:v>
      </x:c>
      <x:c r="H50" s="31" t="n">
        <x:v>46399</x:v>
      </x:c>
      <x:c r="I50" s="31" t="n">
        <x:v>46402</x:v>
      </x:c>
      <x:c r="J50" s="26" t="n">
        <x:f>IF(OR(H50="",I50=""),"",I50-H50+1)</x:f>
        <x:v>4</x:v>
      </x:c>
      <x:c r="K50" s="26" t="str">
        <x:v>LID-AIA-002, LID-AIA-003, LID-AIA-005, LID-AIA-006, LID-AIA-007, LID-AIA-008, LID-AIA-009, LID-AIA-010, LID-REF-006, LID-OPS-017</x:v>
      </x:c>
      <x:c r="L50" s="26" t="str">
        <x:v>PRD-R7-001, EVAL-R7-001</x:v>
      </x:c>
      <x:c r="M50" s="26" t="str">
        <x:v>https://github.com/arunpr614/Life-Reflection/blob/main/docs/product/releases/PRD-R7-GENERATED-ARTWORK.md</x:v>
      </x:c>
      <x:c r="N50" s="26" t="str">
        <x:v>https://github.com/arunpr614/Life-Reflection/blob/main/docs/council/UX-DESIGN-REVIEW.md</x:v>
      </x:c>
      <x:c r="O50" s="26" t="str">
        <x:v>https://github.com/arunpr614/Life-Reflection/blob/main/docs/architecture/PHASE1-IMPLEMENTATION-PLAN.md</x:v>
      </x:c>
      <x:c r="P50" s="26" t="str">
        <x:v>Design preflight, meaningful-word, safety/failure, persistent label, versions, stale, suppression, and real-photo-cover states.</x:v>
      </x:c>
      <x:c r="Q50" s="26" t="str">
        <x:v>Release-specific flows, empty/loading/error/destructive states, responsive behavior, keyboard/screen-reader notes, and design sign-off are linked.</x:v>
      </x:c>
      <x:c r="R50" s="26" t="str">
        <x:v>Planning evidence only; no production data mutation. Any later implementation still needs its own migration, restore, and rollback proof.</x:v>
      </x:c>
      <x:c r="S50" s="26" t="str">
        <x:v>Move to Done only when the named task evidence exists; prototype or document intent cannot prove implementation or release completion.</x:v>
      </x:c>
      <x:c r="T50" s="26" t="str">
        <x:v>https://github.com/arunpr614/Life-Reflection/issues/46</x:v>
      </x:c>
    </x:row>
    <x:row r="51" ht="78" customHeight="1">
      <x:c r="A51" s="26" t="str">
        <x:v>ARCH-R7-001</x:v>
      </x:c>
      <x:c r="B51" s="26" t="str">
        <x:v>Artwork Adapter/Sweep/Budget/Provenance</x:v>
      </x:c>
      <x:c r="C51" s="26" t="str">
        <x:v>Backlog</x:v>
      </x:c>
      <x:c r="D51" s="26" t="str">
        <x:v>R7</x:v>
      </x:c>
      <x:c r="E51" s="26" t="str">
        <x:v>Architecture</x:v>
      </x:c>
      <x:c r="F51" s="26" t="str">
        <x:v>Technical Architect</x:v>
      </x:c>
      <x:c r="G51" s="26" t="str">
        <x:v>Medium</x:v>
      </x:c>
      <x:c r="H51" s="31" t="n">
        <x:v>46399</x:v>
      </x:c>
      <x:c r="I51" s="31" t="n">
        <x:v>46402</x:v>
      </x:c>
      <x:c r="J51" s="26" t="n">
        <x:f>IF(OR(H51="",I51=""),"",I51-H51+1)</x:f>
        <x:v>4</x:v>
      </x:c>
      <x:c r="K51" s="26" t="str">
        <x:v>LID-AIA-001, LID-AIA-002, LID-AIA-003, LID-AIA-004, LID-AIA-005, LID-AIA-006, LID-AIA-007, LID-AIA-008, LID-AIA-009, LID-AIA-010, LID-AIA-011, LID-REF-006, LID-OPS-011, LID-OPS-017, LID-OPS-018</x:v>
      </x:c>
      <x:c r="L51" s="26" t="str">
        <x:v>PRD-R7-001, EVAL-R7-001, REL-R6-001</x:v>
      </x:c>
      <x:c r="M51" s="26" t="str">
        <x:v>https://github.com/arunpr614/Life-Reflection/blob/main/docs/product/releases/PRD-R7-GENERATED-ARTWORK.md</x:v>
      </x:c>
      <x:c r="N51" s="26" t="str">
        <x:v>https://github.com/arunpr614/Life-Reflection/blob/main/docs/council/UX-DESIGN-REVIEW.md</x:v>
      </x:c>
      <x:c r="O51" s="26" t="str">
        <x:v>https://github.com/arunpr614/Life-Reflection/blob/main/docs/architecture/PHASE1-IMPLEMENTATION-PLAN.md</x:v>
      </x:c>
      <x:c r="P51" s="26" t="str">
        <x:v>Define exact adapter/configuration, preflight, idempotent sweep, artifact lifecycle, provenance, budget reservation, suppression, and restore.</x:v>
      </x:c>
      <x:c r="Q51" s="26" t="str">
        <x:v>Approved ADRs, threat/data-flow diagrams, capacity assumptions, migration/rollback design, and restore contract are linked.</x:v>
      </x:c>
      <x:c r="R51" s="26" t="str">
        <x:v>No personal-data mutation is authorized by this task; it must define or prove reversible deployment and recovery before dependent implementation.</x:v>
      </x:c>
      <x:c r="S51" s="26" t="str">
        <x:v>Move to Done only when the named task evidence exists; prototype or document intent cannot prove implementation or release completion.</x:v>
      </x:c>
      <x:c r="T51" s="26" t="str">
        <x:v>https://github.com/arunpr614/Life-Reflection/issues/47</x:v>
      </x:c>
    </x:row>
    <x:row r="52" ht="78" customHeight="1">
      <x:c r="A52" s="26" t="str">
        <x:v>ENG-R7-001</x:v>
      </x:c>
      <x:c r="B52" s="26" t="str">
        <x:v>Manual &amp; Sweep Artwork Lifecycle</x:v>
      </x:c>
      <x:c r="C52" s="26" t="str">
        <x:v>Backlog</x:v>
      </x:c>
      <x:c r="D52" s="26" t="str">
        <x:v>R7</x:v>
      </x:c>
      <x:c r="E52" s="26" t="str">
        <x:v>Implementation</x:v>
      </x:c>
      <x:c r="F52" s="26" t="str">
        <x:v>Engineering</x:v>
      </x:c>
      <x:c r="G52" s="26" t="str">
        <x:v>Medium</x:v>
      </x:c>
      <x:c r="H52" s="31" t="n">
        <x:v>46401</x:v>
      </x:c>
      <x:c r="I52" s="31" t="n">
        <x:v>46414</x:v>
      </x:c>
      <x:c r="J52" s="26" t="n">
        <x:f>IF(OR(H52="",I52=""),"",I52-H52+1)</x:f>
        <x:v>14</x:v>
      </x:c>
      <x:c r="K52" s="26" t="str">
        <x:v>LID-AIA-001, LID-AIA-002, LID-AIA-003, LID-AIA-004, LID-AIA-005, LID-AIA-006, LID-AIA-007, LID-AIA-008, LID-AIA-009, LID-AIA-010, LID-AIA-011, LID-REF-006, LID-OPS-011, LID-OPS-017, LID-OPS-018</x:v>
      </x:c>
      <x:c r="L52" s="26" t="str">
        <x:v>UX-R7-001, ARCH-R7-001, REL-R6-001</x:v>
      </x:c>
      <x:c r="M52" s="26" t="str">
        <x:v>https://github.com/arunpr614/Life-Reflection/blob/main/docs/product/releases/PRD-R7-GENERATED-ARTWORK.md</x:v>
      </x:c>
      <x:c r="N52" s="26" t="str">
        <x:v>https://github.com/arunpr614/Life-Reflection/blob/main/docs/council/UX-DESIGN-REVIEW.md</x:v>
      </x:c>
      <x:c r="O52" s="26" t="str">
        <x:v>https://github.com/arunpr614/Life-Reflection/blob/main/docs/architecture/PHASE1-IMPLEMENTATION-PLAN.md</x:v>
      </x:c>
      <x:c r="P52" s="26" t="str">
        <x:v>Implement evaluated explicit/sweep generation, versions, labeling, stale state, suppression, cover precedence, failures, and spend control.</x:v>
      </x:c>
      <x:c r="Q52" s="26" t="str">
        <x:v>Merged implementation, tests, migration evidence, sanitized deployment record, and no-regression proof are linked.</x:v>
      </x:c>
      <x:c r="R52" s="26" t="str">
        <x:v>Adds artwork versions, job, provenance, suppression, and cover-selection state; migration must be reversible and backup/restore coverage must pass before release acceptance.</x:v>
      </x:c>
      <x:c r="S52" s="26" t="str">
        <x:v>Move to Done only when the named task evidence exists; prototype or document intent cannot prove implementation or release completion.</x:v>
      </x:c>
      <x:c r="T52" s="26" t="str">
        <x:v>https://github.com/arunpr614/Life-Reflection/issues/48</x:v>
      </x:c>
    </x:row>
    <x:row r="53" ht="78" customHeight="1">
      <x:c r="A53" s="26" t="str">
        <x:v>REL-R7-001</x:v>
      </x:c>
      <x:c r="B53" s="26" t="str">
        <x:v>Artwork Privacy/Cover/Restore Acceptance</x:v>
      </x:c>
      <x:c r="C53" s="26" t="str">
        <x:v>Backlog</x:v>
      </x:c>
      <x:c r="D53" s="26" t="str">
        <x:v>R7</x:v>
      </x:c>
      <x:c r="E53" s="26" t="str">
        <x:v>Release acceptance</x:v>
      </x:c>
      <x:c r="F53" s="26" t="str">
        <x:v>Project Manager</x:v>
      </x:c>
      <x:c r="G53" s="26" t="str">
        <x:v>Medium</x:v>
      </x:c>
      <x:c r="H53" s="31" t="n">
        <x:v>46415</x:v>
      </x:c>
      <x:c r="I53" s="31" t="n">
        <x:v>46416</x:v>
      </x:c>
      <x:c r="J53" s="26" t="n">
        <x:f>IF(OR(H53="",I53=""),"",I53-H53+1)</x:f>
        <x:v>2</x:v>
      </x:c>
      <x:c r="K53" s="26" t="str">
        <x:v>LID-AIA-001, LID-AIA-002, LID-AIA-003, LID-AIA-004, LID-AIA-005, LID-AIA-006, LID-AIA-007, LID-AIA-008, LID-AIA-009, LID-AIA-010, LID-AIA-011, LID-REF-006, LID-OPS-011, LID-OPS-017, LID-OPS-018</x:v>
      </x:c>
      <x:c r="L53" s="26" t="str">
        <x:v>ENG-R7-001</x:v>
      </x:c>
      <x:c r="M53" s="26" t="str">
        <x:v>https://github.com/arunpr614/Life-Reflection/blob/main/docs/product/releases/PRD-R7-GENERATED-ARTWORK.md</x:v>
      </x:c>
      <x:c r="N53" s="26" t="str">
        <x:v>https://github.com/arunpr614/Life-Reflection/blob/main/docs/council/UX-DESIGN-REVIEW.md</x:v>
      </x:c>
      <x:c r="O53" s="26" t="str">
        <x:v>https://github.com/arunpr614/Life-Reflection/blob/main/docs/architecture/PHASE1-IMPLEMENTATION-PLAN.md</x:v>
      </x:c>
      <x:c r="P53" s="26" t="str">
        <x:v>Verify privacy, evaluation gates, preflight, failures, versions, suppression, real-photo cover, budget, artifact restore, and rollback.</x:v>
      </x:c>
      <x:c r="Q53" s="26" t="str">
        <x:v>Release checklist, owner walkthrough, backup/restore evidence for new shapes, rollback result, defect gate, and go/no-go record are linked.</x:v>
      </x:c>
      <x:c r="R53" s="26" t="str">
        <x:v>Validates rollback and restore for every persistent shape introduced by the milestone; acceptance never substitutes a successful backup upload for restore evidence.</x:v>
      </x:c>
      <x:c r="S53" s="26" t="str">
        <x:v>Move to Done only when the named task evidence exists; prototype or document intent cannot prove implementation or release completion.</x:v>
      </x:c>
      <x:c r="T53" s="26" t="str">
        <x:v>https://github.com/arunpr614/Life-Reflection/issues/49</x:v>
      </x:c>
    </x:row>
    <x:row r="54" ht="78" customHeight="1">
      <x:c r="A54" s="26" t="str">
        <x:v>PRD-R8-001</x:v>
      </x:c>
      <x:c r="B54" s="26" t="str">
        <x:v>Resilience PRD</x:v>
      </x:c>
      <x:c r="C54" s="26" t="str">
        <x:v>Done</x:v>
      </x:c>
      <x:c r="D54" s="26" t="str">
        <x:v>R8</x:v>
      </x:c>
      <x:c r="E54" s="26" t="str">
        <x:v>Product definition</x:v>
      </x:c>
      <x:c r="F54" s="26" t="str">
        <x:v>Product Manager</x:v>
      </x:c>
      <x:c r="G54" s="26" t="str">
        <x:v>High</x:v>
      </x:c>
      <x:c r="H54" s="31" t="n">
        <x:v>46419</x:v>
      </x:c>
      <x:c r="I54" s="31" t="n">
        <x:v>46421</x:v>
      </x:c>
      <x:c r="J54" s="26" t="n">
        <x:f>IF(OR(H54="",I54=""),"",I54-H54+1)</x:f>
        <x:v>3</x:v>
      </x:c>
      <x:c r="K54" s="26" t="str">
        <x:v>LID-OPS-006, LID-OPS-011, LID-OPS-014, LID-OPS-018, LID-REF-006</x:v>
      </x:c>
      <x:c r="L54" s="26" t="str">
        <x:v>PC-001</x:v>
      </x:c>
      <x:c r="M54" s="26" t="str">
        <x:v>https://github.com/arunpr614/Life-Reflection/blob/main/docs/product/releases/PRD-R8-OPERATIONAL-SCALE-RESILIENCE.md</x:v>
      </x:c>
      <x:c r="N54" s="26" t="str">
        <x:v>https://github.com/arunpr614/Life-Reflection/blob/main/docs/council/UX-DESIGN-REVIEW.md</x:v>
      </x:c>
      <x:c r="O54" s="26" t="str">
        <x:v>https://github.com/arunpr614/Life-Reflection/blob/main/docs/architecture/PHASE1-IMPLEMENTATION-PLAN.md</x:v>
      </x:c>
      <x:c r="P54" s="26" t="str">
        <x:v>Define measured capacity, safe degradation, health, alerts, failure isolation, integrated recovery, and hardening outcomes.</x:v>
      </x:c>
      <x:c r="Q54" s="26" t="str">
        <x:v>Release document docs/product/releases/PRD-R8-OPERATIONAL-SCALE-RESILIENCE.md exists, passes link/requirement validation, and states owner approval as a separate release gate.</x:v>
      </x:c>
      <x:c r="R54" s="26" t="str">
        <x:v>Planning evidence only; no production data mutation. Any later implementation still needs its own migration, restore, and rollback proof.</x:v>
      </x:c>
      <x:c r="S54" s="26" t="str">
        <x:v>This planning artifact is complete; it does not claim feature implementation, deployment, production readiness, or release acceptance.</x:v>
      </x:c>
      <x:c r="T54" s="26" t="str">
        <x:v>https://github.com/arunpr614/Life-Reflection/issues/50</x:v>
      </x:c>
    </x:row>
    <x:row r="55" ht="78" customHeight="1">
      <x:c r="A55" s="26" t="str">
        <x:v>ARCH-R8-001</x:v>
      </x:c>
      <x:c r="B55" s="26" t="str">
        <x:v>Capacity/Health/Alert/Fault Hardening</x:v>
      </x:c>
      <x:c r="C55" s="26" t="str">
        <x:v>Backlog</x:v>
      </x:c>
      <x:c r="D55" s="26" t="str">
        <x:v>R8</x:v>
      </x:c>
      <x:c r="E55" s="26" t="str">
        <x:v>Architecture</x:v>
      </x:c>
      <x:c r="F55" s="26" t="str">
        <x:v>Technical Architect</x:v>
      </x:c>
      <x:c r="G55" s="26" t="str">
        <x:v>High</x:v>
      </x:c>
      <x:c r="H55" s="31" t="n">
        <x:v>46419</x:v>
      </x:c>
      <x:c r="I55" s="31" t="n">
        <x:v>46423</x:v>
      </x:c>
      <x:c r="J55" s="26" t="n">
        <x:f>IF(OR(H55="",I55=""),"",I55-H55+1)</x:f>
        <x:v>5</x:v>
      </x:c>
      <x:c r="K55" s="26" t="str">
        <x:v>LID-OPS-006, LID-OPS-011, LID-OPS-014, LID-OPS-018, LID-REF-006</x:v>
      </x:c>
      <x:c r="L55" s="26" t="str">
        <x:v>PRD-R8-001, REL-R7-001</x:v>
      </x:c>
      <x:c r="M55" s="26" t="str">
        <x:v>https://github.com/arunpr614/Life-Reflection/blob/main/docs/product/releases/PRD-R8-OPERATIONAL-SCALE-RESILIENCE.md</x:v>
      </x:c>
      <x:c r="N55" s="26" t="str">
        <x:v>https://github.com/arunpr614/Life-Reflection/blob/main/docs/council/UX-DESIGN-REVIEW.md</x:v>
      </x:c>
      <x:c r="O55" s="26" t="str">
        <x:v>https://github.com/arunpr614/Life-Reflection/blob/main/docs/architecture/PHASE1-IMPLEMENTATION-PLAN.md</x:v>
      </x:c>
      <x:c r="P55" s="26" t="str">
        <x:v>Harden measured watermarks, process/job supervision, durable health, alert transitions, dependency isolation, and recovery operations.</x:v>
      </x:c>
      <x:c r="Q55" s="26" t="str">
        <x:v>Approved ADRs, threat/data-flow diagrams, capacity assumptions, migration/rollback design, and restore contract are linked.</x:v>
      </x:c>
      <x:c r="R55" s="26" t="str">
        <x:v>No personal-data mutation is authorized by this task; it must define or prove reversible deployment and recovery before dependent implementation.</x:v>
      </x:c>
      <x:c r="S55" s="26" t="str">
        <x:v>Move to Done only when the named task evidence exists; prototype or document intent cannot prove implementation or release completion.</x:v>
      </x:c>
      <x:c r="T55" s="26" t="str">
        <x:v>https://github.com/arunpr614/Life-Reflection/issues/51</x:v>
      </x:c>
    </x:row>
    <x:row r="56" ht="78" customHeight="1">
      <x:c r="A56" s="26" t="str">
        <x:v>QA-R8-001</x:v>
      </x:c>
      <x:c r="B56" s="26" t="str">
        <x:v>Integrated Fault/Security/Browser/Accessibility Suite</x:v>
      </x:c>
      <x:c r="C56" s="26" t="str">
        <x:v>Backlog</x:v>
      </x:c>
      <x:c r="D56" s="26" t="str">
        <x:v>R8</x:v>
      </x:c>
      <x:c r="E56" s="26" t="str">
        <x:v>Quality</x:v>
      </x:c>
      <x:c r="F56" s="26" t="str">
        <x:v>Project Manager + QA</x:v>
      </x:c>
      <x:c r="G56" s="26" t="str">
        <x:v>High</x:v>
      </x:c>
      <x:c r="H56" s="31" t="n">
        <x:v>46422</x:v>
      </x:c>
      <x:c r="I56" s="31" t="n">
        <x:v>46435</x:v>
      </x:c>
      <x:c r="J56" s="26" t="n">
        <x:f>IF(OR(H56="",I56=""),"",I56-H56+1)</x:f>
        <x:v>14</x:v>
      </x:c>
      <x:c r="K56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L56" s="26" t="str">
        <x:v>ARCH-R8-001, REL-R7-001</x:v>
      </x:c>
      <x:c r="M56" s="26" t="str">
        <x:v>https://github.com/arunpr614/Life-Reflection/blob/main/docs/product/releases/PRD-R8-OPERATIONAL-SCALE-RESILIENCE.md</x:v>
      </x:c>
      <x:c r="N56" s="26" t="str">
        <x:v>https://github.com/arunpr614/Life-Reflection/blob/main/docs/council/UX-DESIGN-REVIEW.md</x:v>
      </x:c>
      <x:c r="O56" s="26" t="str">
        <x:v>https://github.com/arunpr614/Life-Reflection/blob/main/docs/architecture/PHASE1-IMPLEMENTATION-PLAN.md</x:v>
      </x:c>
      <x:c r="P56" s="26" t="str">
        <x:v>Execute integrated capacity, restart, dependency, privacy, security, browser, keyboard, screen-reader, zoom, theme, and restore tests.</x:v>
      </x:c>
      <x:c r="Q56" s="26" t="str">
        <x:v>Executed test matrix, defects, accessibility/security evidence, restore evidence, and owner-visible results are linked.</x:v>
      </x:c>
      <x:c r="R56" s="26" t="str">
        <x:v>Validates rollback and restore for every persistent shape introduced by the milestone; acceptance never substitutes a successful backup upload for restore evidence.</x:v>
      </x:c>
      <x:c r="S56" s="26" t="str">
        <x:v>Move to Done only when the named task evidence exists; prototype or document intent cannot prove implementation or release completion.</x:v>
      </x:c>
      <x:c r="T56" s="26" t="str">
        <x:v>https://github.com/arunpr614/Life-Reflection/issues/52</x:v>
      </x:c>
    </x:row>
    <x:row r="57" ht="78" customHeight="1">
      <x:c r="A57" s="26" t="str">
        <x:v>REL-R8-001</x:v>
      </x:c>
      <x:c r="B57" s="26" t="str">
        <x:v>Resilience Release Acceptance</x:v>
      </x:c>
      <x:c r="C57" s="26" t="str">
        <x:v>Backlog</x:v>
      </x:c>
      <x:c r="D57" s="26" t="str">
        <x:v>R8</x:v>
      </x:c>
      <x:c r="E57" s="26" t="str">
        <x:v>Release acceptance</x:v>
      </x:c>
      <x:c r="F57" s="26" t="str">
        <x:v>Project Manager</x:v>
      </x:c>
      <x:c r="G57" s="26" t="str">
        <x:v>High</x:v>
      </x:c>
      <x:c r="H57" s="31" t="n">
        <x:v>46436</x:v>
      </x:c>
      <x:c r="I57" s="31" t="n">
        <x:v>46437</x:v>
      </x:c>
      <x:c r="J57" s="26" t="n">
        <x:f>IF(OR(H57="",I57=""),"",I57-H57+1)</x:f>
        <x:v>2</x:v>
      </x:c>
      <x:c r="K57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L57" s="26" t="str">
        <x:v>QA-R8-001</x:v>
      </x:c>
      <x:c r="M57" s="26" t="str">
        <x:v>https://github.com/arunpr614/Life-Reflection/blob/main/docs/product/releases/PRD-R8-OPERATIONAL-SCALE-RESILIENCE.md</x:v>
      </x:c>
      <x:c r="N57" s="26" t="str">
        <x:v>https://github.com/arunpr614/Life-Reflection/blob/main/docs/council/UX-DESIGN-REVIEW.md</x:v>
      </x:c>
      <x:c r="O57" s="26" t="str">
        <x:v>https://github.com/arunpr614/Life-Reflection/blob/main/docs/architecture/PHASE1-IMPLEMENTATION-PLAN.md</x:v>
      </x:c>
      <x:c r="P57" s="26" t="str">
        <x:v>Accept the integrated operating envelope only after faults, alerts, capacity, backup/restore, rollback, and regressions pass.</x:v>
      </x:c>
      <x:c r="Q57" s="26" t="str">
        <x:v>Release checklist, owner walkthrough, backup/restore evidence for new shapes, rollback result, defect gate, and go/no-go record are linked.</x:v>
      </x:c>
      <x:c r="R57" s="26" t="str">
        <x:v>Validates rollback and restore for every persistent shape introduced by the milestone; acceptance never substitutes a successful backup upload for restore evidence.</x:v>
      </x:c>
      <x:c r="S57" s="26" t="str">
        <x:v>Move to Done only when the named task evidence exists; prototype or document intent cannot prove implementation or release completion.</x:v>
      </x:c>
      <x:c r="T57" s="26" t="str">
        <x:v>https://github.com/arunpr614/Life-Reflection/issues/53</x:v>
      </x:c>
    </x:row>
    <x:row r="58" ht="78" customHeight="1">
      <x:c r="A58" s="26" t="str">
        <x:v>PRD-R9-001</x:v>
      </x:c>
      <x:c r="B58" s="26" t="str">
        <x:v>Launch Acceptance Plan</x:v>
      </x:c>
      <x:c r="C58" s="26" t="str">
        <x:v>Done</x:v>
      </x:c>
      <x:c r="D58" s="26" t="str">
        <x:v>R9</x:v>
      </x:c>
      <x:c r="E58" s="26" t="str">
        <x:v>Product definition</x:v>
      </x:c>
      <x:c r="F58" s="26" t="str">
        <x:v>Product Manager</x:v>
      </x:c>
      <x:c r="G58" s="26" t="str">
        <x:v>High</x:v>
      </x:c>
      <x:c r="H58" s="31" t="n">
        <x:v>46440</x:v>
      </x:c>
      <x:c r="I58" s="31" t="n">
        <x:v>46442</x:v>
      </x:c>
      <x:c r="J58" s="26" t="n">
        <x:f>IF(OR(H58="",I58=""),"",I58-H58+1)</x:f>
        <x:v>3</x:v>
      </x:c>
      <x:c r="K58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L58" s="26" t="str">
        <x:v>PC-001</x:v>
      </x:c>
      <x:c r="M58" s="26" t="str">
        <x:v>https://github.com/arunpr614/Life-Reflection/blob/main/docs/product/releases/PRD-R9-PRIVATE-LAUNCH-ACCEPTANCE.md</x:v>
      </x:c>
      <x:c r="N58" s="26" t="str">
        <x:v>https://github.com/arunpr614/Life-Reflection/blob/main/docs/council/UX-DESIGN-REVIEW.md</x:v>
      </x:c>
      <x:c r="O58" s="26" t="str">
        <x:v>https://github.com/arunpr614/Life-Reflection/blob/main/docs/architecture/PHASE1-IMPLEMENTATION-PLAN.md</x:v>
      </x:c>
      <x:c r="P58" s="26" t="str">
        <x:v>Define the owner UAT, Recovery Ceremony, severity gate, observation window, explicit authority, go/no-go, and rollback plan with no feature growth.</x:v>
      </x:c>
      <x:c r="Q58" s="26" t="str">
        <x:v>Release document docs/product/releases/PRD-R9-PRIVATE-LAUNCH-ACCEPTANCE.md exists, passes link/requirement validation, and states owner approval as a separate release gate.</x:v>
      </x:c>
      <x:c r="R58" s="26" t="str">
        <x:v>Planning evidence only; no production data mutation. Any later implementation still needs its own migration, restore, and rollback proof.</x:v>
      </x:c>
      <x:c r="S58" s="26" t="str">
        <x:v>This planning artifact is complete; it does not claim feature implementation, deployment, production readiness, or release acceptance.</x:v>
      </x:c>
      <x:c r="T58" s="26" t="str">
        <x:v>https://github.com/arunpr614/Life-Reflection/issues/54</x:v>
      </x:c>
    </x:row>
    <x:row r="59" ht="78" customHeight="1">
      <x:c r="A59" s="26" t="str">
        <x:v>QA-R9-001</x:v>
      </x:c>
      <x:c r="B59" s="26" t="str">
        <x:v>Owner UAT/Recovery Ceremony/Stabilization</x:v>
      </x:c>
      <x:c r="C59" s="26" t="str">
        <x:v>Backlog</x:v>
      </x:c>
      <x:c r="D59" s="26" t="str">
        <x:v>R9</x:v>
      </x:c>
      <x:c r="E59" s="26" t="str">
        <x:v>Quality</x:v>
      </x:c>
      <x:c r="F59" s="26" t="str">
        <x:v>Project Manager + QA</x:v>
      </x:c>
      <x:c r="G59" s="26" t="str">
        <x:v>High</x:v>
      </x:c>
      <x:c r="H59" s="31" t="n">
        <x:v>46440</x:v>
      </x:c>
      <x:c r="I59" s="31" t="n">
        <x:v>46456</x:v>
      </x:c>
      <x:c r="J59" s="26" t="n">
        <x:f>IF(OR(H59="",I59=""),"",I59-H59+1)</x:f>
        <x:v>17</x:v>
      </x:c>
      <x:c r="K59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L59" s="26" t="str">
        <x:v>PRD-R9-001, REL-R8-001</x:v>
      </x:c>
      <x:c r="M59" s="26" t="str">
        <x:v>https://github.com/arunpr614/Life-Reflection/blob/main/docs/product/releases/PRD-R9-PRIVATE-LAUNCH-ACCEPTANCE.md</x:v>
      </x:c>
      <x:c r="N59" s="26" t="str">
        <x:v>https://github.com/arunpr614/Life-Reflection/blob/main/docs/council/UX-DESIGN-REVIEW.md</x:v>
      </x:c>
      <x:c r="O59" s="26" t="str">
        <x:v>https://github.com/arunpr614/Life-Reflection/blob/main/docs/architecture/PHASE1-IMPLEMENTATION-PLAN.md</x:v>
      </x:c>
      <x:c r="P59" s="26" t="str">
        <x:v>Execute complete owner journeys, full representative recovery, defect stabilization, accessibility, privacy, spend, capacity, and failure scenarios.</x:v>
      </x:c>
      <x:c r="Q59" s="26" t="str">
        <x:v>Executed test matrix, defects, accessibility/security evidence, restore evidence, and owner-visible results are linked.</x:v>
      </x:c>
      <x:c r="R59" s="26" t="str">
        <x:v>Validates rollback and restore for every persistent shape introduced by the milestone; acceptance never substitutes a successful backup upload for restore evidence.</x:v>
      </x:c>
      <x:c r="S59" s="26" t="str">
        <x:v>Move to Done only when the named task evidence exists; prototype or document intent cannot prove implementation or release completion.</x:v>
      </x:c>
      <x:c r="T59" s="26" t="str">
        <x:v>https://github.com/arunpr614/Life-Reflection/issues/55</x:v>
      </x:c>
    </x:row>
    <x:row r="60" ht="78" customHeight="1">
      <x:c r="A60" s="26" t="str">
        <x:v>REL-R9-001</x:v>
      </x:c>
      <x:c r="B60" s="26" t="str">
        <x:v>Private Launch Go/No-go &amp; Observation</x:v>
      </x:c>
      <x:c r="C60" s="26" t="str">
        <x:v>Backlog</x:v>
      </x:c>
      <x:c r="D60" s="26" t="str">
        <x:v>R9</x:v>
      </x:c>
      <x:c r="E60" s="26" t="str">
        <x:v>Release acceptance</x:v>
      </x:c>
      <x:c r="F60" s="26" t="str">
        <x:v>Project Manager</x:v>
      </x:c>
      <x:c r="G60" s="26" t="str">
        <x:v>High</x:v>
      </x:c>
      <x:c r="H60" s="31" t="n">
        <x:v>46457</x:v>
      </x:c>
      <x:c r="I60" s="31" t="n">
        <x:v>46458</x:v>
      </x:c>
      <x:c r="J60" s="26" t="n">
        <x:f>IF(OR(H60="",I60=""),"",I60-H60+1)</x:f>
        <x:v>2</x:v>
      </x:c>
      <x:c r="K60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L60" s="26" t="str">
        <x:v>QA-R9-001</x:v>
      </x:c>
      <x:c r="M60" s="26" t="str">
        <x:v>https://github.com/arunpr614/Life-Reflection/blob/main/docs/product/releases/PRD-R9-PRIVATE-LAUNCH-ACCEPTANCE.md</x:v>
      </x:c>
      <x:c r="N60" s="26" t="str">
        <x:v>https://github.com/arunpr614/Life-Reflection/blob/main/docs/council/UX-DESIGN-REVIEW.md</x:v>
      </x:c>
      <x:c r="O60" s="26" t="str">
        <x:v>https://github.com/arunpr614/Life-Reflection/blob/main/docs/architecture/PHASE1-IMPLEMENTATION-PLAN.md</x:v>
      </x:c>
      <x:c r="P60" s="26" t="str">
        <x:v>Record explicit owner authority, severity status, Recovery Ceremony, observation evidence, and go/no-go or rollback decision.</x:v>
      </x:c>
      <x:c r="Q60" s="26" t="str">
        <x:v>Release checklist, owner walkthrough, backup/restore evidence for new shapes, rollback result, defect gate, and go/no-go record are linked.</x:v>
      </x:c>
      <x:c r="R60" s="26" t="str">
        <x:v>Validates rollback and restore for every persistent shape introduced by the milestone; acceptance never substitutes a successful backup upload for restore evidence.</x:v>
      </x:c>
      <x:c r="S60" s="26" t="str">
        <x:v>Move to Done only when the named task evidence exists; prototype or document intent cannot prove implementation or release completion.</x:v>
      </x:c>
      <x:c r="T60" s="26" t="str">
        <x:v>https://github.com/arunpr614/Life-Reflection/issues/56</x:v>
      </x:c>
    </x:row>
    <x:row r="61" ht="78" customHeight="1">
      <x:c r="A61" s="26" t="str">
        <x:v>PID-R10-001</x:v>
      </x:c>
      <x:c r="B61" s="26" t="str">
        <x:v>Object-store Transition PID</x:v>
      </x:c>
      <x:c r="C61" s="26" t="str">
        <x:v>Done</x:v>
      </x:c>
      <x:c r="D61" s="26" t="str">
        <x:v>R10</x:v>
      </x:c>
      <x:c r="E61" s="26" t="str">
        <x:v>Product definition</x:v>
      </x:c>
      <x:c r="F61" s="26" t="str">
        <x:v>Product Manager</x:v>
      </x:c>
      <x:c r="G61" s="26" t="str">
        <x:v>Medium</x:v>
      </x:c>
      <x:c r="H61" s="31"/>
      <x:c r="I61" s="31"/>
      <x:c r="J61" s="26" t="str">
        <x:f>IF(OR(H61="",I61=""),"",I61-H61+1)</x:f>
      </x:c>
      <x:c r="K61" s="26" t="str">
        <x:v>LID-OPS-006, LID-OPS-007, LID-OPS-008, LID-OPS-011, LID-OPS-014, LID-OPS-018</x:v>
      </x:c>
      <x:c r="L61" s="26" t="str">
        <x:v>PC-001</x:v>
      </x:c>
      <x:c r="M61" s="26" t="str">
        <x:v>https://github.com/arunpr614/Life-Reflection/blob/main/docs/product/releases/PID-R10-OBJECT-STORE-TRANSITION.md</x:v>
      </x:c>
      <x:c r="N61" s="26" t="str">
        <x:v>https://github.com/arunpr614/Life-Reflection/blob/main/docs/council/UX-DESIGN-REVIEW.md</x:v>
      </x:c>
      <x:c r="O61" s="26" t="str">
        <x:v>https://github.com/arunpr614/Life-Reflection/blob/main/docs/architecture/PHASE1-IMPLEMENTATION-PLAN.md</x:v>
      </x:c>
      <x:c r="P61" s="26" t="str">
        <x:v>Define the date-free capacity trigger, user-visible states, outcomes, non-goals, cutover, recovery, rollback, and owner acceptance boundary.</x:v>
      </x:c>
      <x:c r="Q61" s="26" t="str">
        <x:v>Release document docs/product/releases/PID-R10-OBJECT-STORE-TRANSITION.md exists, passes link/requirement validation, and states owner approval as a separate release gate.</x:v>
      </x:c>
      <x:c r="R61" s="26" t="str">
        <x:v>Planning evidence only; no production data mutation. Any later implementation still needs its own migration, restore, and rollback proof.</x:v>
      </x:c>
      <x:c r="S61" s="26" t="str">
        <x:v>This planning artifact is complete; it does not claim feature implementation, deployment, production readiness, or release acceptance.</x:v>
      </x:c>
      <x:c r="T61" s="26" t="str">
        <x:v>https://github.com/arunpr614/Life-Reflection/issues/57</x:v>
      </x:c>
    </x:row>
    <x:row r="62" ht="78" customHeight="1">
      <x:c r="A62" s="26" t="str">
        <x:v>ARCH-R10-001</x:v>
      </x:c>
      <x:c r="B62" s="26" t="str">
        <x:v>Migration/Inventory/Backup/Rollback Runbook</x:v>
      </x:c>
      <x:c r="C62" s="26" t="str">
        <x:v>Backlog</x:v>
      </x:c>
      <x:c r="D62" s="26" t="str">
        <x:v>R10</x:v>
      </x:c>
      <x:c r="E62" s="26" t="str">
        <x:v>Architecture</x:v>
      </x:c>
      <x:c r="F62" s="26" t="str">
        <x:v>Technical Architect</x:v>
      </x:c>
      <x:c r="G62" s="26" t="str">
        <x:v>Medium</x:v>
      </x:c>
      <x:c r="H62" s="31"/>
      <x:c r="I62" s="31"/>
      <x:c r="J62" s="26" t="str">
        <x:f>IF(OR(H62="",I62=""),"",I62-H62+1)</x:f>
      </x:c>
      <x:c r="K62" s="26" t="str">
        <x:v>LID-OPS-006, LID-OPS-007, LID-OPS-008, LID-OPS-011, LID-OPS-014, LID-OPS-018</x:v>
      </x:c>
      <x:c r="L62" s="26" t="str">
        <x:v>PID-R10-001, REL-R9-001</x:v>
      </x:c>
      <x:c r="M62" s="26" t="str">
        <x:v>https://github.com/arunpr614/Life-Reflection/blob/main/docs/product/releases/PID-R10-OBJECT-STORE-TRANSITION.md</x:v>
      </x:c>
      <x:c r="N62" s="26" t="str">
        <x:v>https://github.com/arunpr614/Life-Reflection/blob/main/docs/council/UX-DESIGN-REVIEW.md</x:v>
      </x:c>
      <x:c r="O62" s="26" t="str">
        <x:v>https://github.com/arunpr614/Life-Reflection/blob/main/docs/architecture/PHASE1-IMPLEMENTATION-PLAN.md</x:v>
      </x:c>
      <x:c r="P62" s="26" t="str">
        <x:v>Define complete pagination/inventory, encrypted keys, dual-write/copy, reconciliation, remote backup/restore, reversible pointers, observation, and rollback.</x:v>
      </x:c>
      <x:c r="Q62" s="26" t="str">
        <x:v>Approved ADRs, threat/data-flow diagrams, capacity assumptions, migration/rollback design, and restore contract are linked.</x:v>
      </x:c>
      <x:c r="R62" s="26" t="str">
        <x:v>No personal-data mutation is authorized by this task; it must define or prove reversible deployment and recovery before dependent implementation.</x:v>
      </x:c>
      <x:c r="S62" s="26" t="str">
        <x:v>Move to Done only when the named task evidence exists; prototype or document intent cannot prove implementation or release completion.</x:v>
      </x:c>
      <x:c r="T62" s="26" t="str">
        <x:v>https://github.com/arunpr614/Life-Reflection/issues/58</x:v>
      </x:c>
    </x:row>
    <x:row r="63" ht="78" customHeight="1">
      <x:c r="A63" s="26" t="str">
        <x:v>REL-R10-001</x:v>
      </x:c>
      <x:c r="B63" s="26" t="str">
        <x:v>Conditional Transition Acceptance</x:v>
      </x:c>
      <x:c r="C63" s="26" t="str">
        <x:v>Backlog</x:v>
      </x:c>
      <x:c r="D63" s="26" t="str">
        <x:v>R10</x:v>
      </x:c>
      <x:c r="E63" s="26" t="str">
        <x:v>Release acceptance</x:v>
      </x:c>
      <x:c r="F63" s="26" t="str">
        <x:v>Project Manager</x:v>
      </x:c>
      <x:c r="G63" s="26" t="str">
        <x:v>Medium</x:v>
      </x:c>
      <x:c r="H63" s="31"/>
      <x:c r="I63" s="31"/>
      <x:c r="J63" s="26" t="str">
        <x:f>IF(OR(H63="",I63=""),"",I63-H63+1)</x:f>
      </x:c>
      <x:c r="K63" s="26" t="str">
        <x:v>LID-OPS-006, LID-OPS-007, LID-OPS-008, LID-OPS-011, LID-OPS-014, LID-OPS-018</x:v>
      </x:c>
      <x:c r="L63" s="26" t="str">
        <x:v>ARCH-R10-001</x:v>
      </x:c>
      <x:c r="M63" s="26" t="str">
        <x:v>https://github.com/arunpr614/Life-Reflection/blob/main/docs/product/releases/PID-R10-OBJECT-STORE-TRANSITION.md</x:v>
      </x:c>
      <x:c r="N63" s="26" t="str">
        <x:v>https://github.com/arunpr614/Life-Reflection/blob/main/docs/council/UX-DESIGN-REVIEW.md</x:v>
      </x:c>
      <x:c r="O63" s="26" t="str">
        <x:v>https://github.com/arunpr614/Life-Reflection/blob/main/docs/architecture/PHASE1-IMPLEMENTATION-PLAN.md</x:v>
      </x:c>
      <x:c r="P63" s="26" t="str">
        <x:v>After an approved trigger, execute and verify reversible object-store transition before retiring any local authoritative copy.</x:v>
      </x:c>
      <x:c r="Q63" s="26" t="str">
        <x:v>Release checklist, owner walkthrough, backup/restore evidence for new shapes, rollback result, defect gate, and go/no-go record are linked.</x:v>
      </x:c>
      <x:c r="R63" s="26" t="str">
        <x:v>Validates rollback and restore for every persistent shape introduced by the milestone; acceptance never substitutes a successful backup upload for restore evidence.</x:v>
      </x:c>
      <x:c r="S63" s="26" t="str">
        <x:v>Move to Done only when the named task evidence exists; prototype or document intent cannot prove implementation or release completion.</x:v>
      </x:c>
      <x:c r="T63" s="26" t="str">
        <x:v>https://github.com/arunpr614/Life-Reflection/issues/59</x:v>
      </x:c>
    </x:row>
  </x:sheetData>
  <x:mergeCells>
    <x:mergeCell ref="A1:T2"/>
    <x:mergeCell ref="A3:T3"/>
  </x:mergeCells>
  <x:conditionalFormatting sqref="C6:C63">
    <x:cfRule type="containsText" dxfId="4" priority="1" operator="containsText" text="Backlog"/>
    <x:cfRule type="containsText" dxfId="5" priority="2" operator="containsText" text="Next"/>
    <x:cfRule type="containsText" dxfId="6" priority="3" operator="containsText" text="In progress"/>
    <x:cfRule type="containsText" dxfId="7" priority="4" operator="containsText" text="Done"/>
  </x:conditionalFormatting>
  <x:dataValidations count="3">
    <x:dataValidation type="list" sqref="C6:C63">
      <x:formula1>"Backlog,Next,In progress,Done"</x:formula1>
    </x:dataValidation>
    <x:dataValidation type="list" sqref="D6:D63">
      <x:formula1>"P0,R0,R1,R2,R3,R4,R5,R6,R7,R8,R9,R10"</x:formula1>
    </x:dataValidation>
    <x:dataValidation type="list" sqref="G6:G63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4886df66604b3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14" hidden="0" customWidth="1"/>
    <x:col min="4" max="4" width="11" hidden="0" customWidth="1"/>
    <x:col min="5" max="5" width="13" hidden="0" customWidth="1"/>
    <x:col min="6" max="6" width="13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6" max="26" width="9" hidden="0" customWidth="1"/>
    <x:col min="27" max="27" width="9" hidden="0" customWidth="1"/>
    <x:col min="28" max="28" width="9" hidden="0" customWidth="1"/>
    <x:col min="29" max="29" width="9" hidden="0" customWidth="1"/>
    <x:col min="30" max="30" width="9" hidden="0" customWidth="1"/>
    <x:col min="31" max="31" width="9" hidden="0" customWidth="1"/>
    <x:col min="32" max="32" width="9" hidden="0" customWidth="1"/>
    <x:col min="33" max="33" width="9" hidden="0" customWidth="1"/>
    <x:col min="34" max="34" width="9" hidden="0" customWidth="1"/>
    <x:col min="35" max="35" width="9" hidden="0" customWidth="1"/>
    <x:col min="36" max="36" width="9" hidden="0" customWidth="1"/>
    <x:col min="37" max="37" width="9" hidden="0" customWidth="1"/>
  </x:cols>
  <x:sheetData>
    <x:row r="1" ht="28" customHeight="1">
      <x:c r="A1" s="5" t="str">
        <x:v>Task Roadmap Timeline — Weekly Planning View</x:v>
      </x:c>
      <x:c r="B1" s="5" t="str">
        <x:v>Task Roadmap Timeline — Weekly Planning View</x:v>
      </x:c>
      <x:c r="C1" s="5" t="str">
        <x:v>Task Roadmap Timeline — Weekly Planning View</x:v>
      </x:c>
      <x:c r="D1" s="5" t="str">
        <x:v>Task Roadmap Timeline — Weekly Planning View</x:v>
      </x:c>
      <x:c r="E1" s="5" t="str">
        <x:v>Task Roadmap Timeline — Weekly Planning View</x:v>
      </x:c>
      <x:c r="F1" s="5" t="str">
        <x:v>Task Roadmap Timeline — Weekly Planning View</x:v>
      </x:c>
      <x:c r="G1" s="5" t="str">
        <x:v>Task Roadmap Timeline — Weekly Planning View</x:v>
      </x:c>
      <x:c r="H1" s="5" t="str">
        <x:v>Task Roadmap Timeline — Weekly Planning View</x:v>
      </x:c>
      <x:c r="I1" s="5" t="str">
        <x:v>Task Roadmap Timeline — Weekly Planning View</x:v>
      </x:c>
      <x:c r="J1" s="5" t="str">
        <x:v>Task Roadmap Timeline — Weekly Planning View</x:v>
      </x:c>
      <x:c r="K1" s="5" t="str">
        <x:v>Task Roadmap Timeline — Weekly Planning View</x:v>
      </x:c>
      <x:c r="L1" s="5" t="str">
        <x:v>Task Roadmap Timeline — Weekly Planning View</x:v>
      </x:c>
      <x:c r="M1" s="5" t="str">
        <x:v>Task Roadmap Timeline — Weekly Planning View</x:v>
      </x:c>
      <x:c r="N1" s="5" t="str">
        <x:v>Task Roadmap Timeline — Weekly Planning View</x:v>
      </x:c>
      <x:c r="O1" s="5" t="str">
        <x:v>Task Roadmap Timeline — Weekly Planning View</x:v>
      </x:c>
      <x:c r="P1" s="5" t="str">
        <x:v>Task Roadmap Timeline — Weekly Planning View</x:v>
      </x:c>
      <x:c r="Q1" s="5" t="str">
        <x:v>Task Roadmap Timeline — Weekly Planning View</x:v>
      </x:c>
      <x:c r="R1" s="5" t="str">
        <x:v>Task Roadmap Timeline — Weekly Planning View</x:v>
      </x:c>
      <x:c r="S1" s="5" t="str">
        <x:v>Task Roadmap Timeline — Weekly Planning View</x:v>
      </x:c>
      <x:c r="T1" s="5" t="str">
        <x:v>Task Roadmap Timeline — Weekly Planning View</x:v>
      </x:c>
      <x:c r="U1" s="5" t="str">
        <x:v>Task Roadmap Timeline — Weekly Planning View</x:v>
      </x:c>
      <x:c r="V1" s="5" t="str">
        <x:v>Task Roadmap Timeline — Weekly Planning View</x:v>
      </x:c>
      <x:c r="W1" s="5" t="str">
        <x:v>Task Roadmap Timeline — Weekly Planning View</x:v>
      </x:c>
      <x:c r="X1" s="5" t="str">
        <x:v>Task Roadmap Timeline — Weekly Planning View</x:v>
      </x:c>
      <x:c r="Y1" s="5" t="str">
        <x:v>Task Roadmap Timeline — Weekly Planning View</x:v>
      </x:c>
      <x:c r="Z1" s="5" t="str">
        <x:v>Task Roadmap Timeline — Weekly Planning View</x:v>
      </x:c>
      <x:c r="AA1" s="5" t="str">
        <x:v>Task Roadmap Timeline — Weekly Planning View</x:v>
      </x:c>
      <x:c r="AB1" s="5" t="str">
        <x:v>Task Roadmap Timeline — Weekly Planning View</x:v>
      </x:c>
      <x:c r="AC1" s="5" t="str">
        <x:v>Task Roadmap Timeline — Weekly Planning View</x:v>
      </x:c>
      <x:c r="AD1" s="5" t="str">
        <x:v>Task Roadmap Timeline — Weekly Planning View</x:v>
      </x:c>
      <x:c r="AE1" s="5" t="str">
        <x:v>Task Roadmap Timeline — Weekly Planning View</x:v>
      </x:c>
      <x:c r="AF1" s="5" t="str">
        <x:v>Task Roadmap Timeline — Weekly Planning View</x:v>
      </x:c>
      <x:c r="AG1" s="5" t="str">
        <x:v>Task Roadmap Timeline — Weekly Planning View</x:v>
      </x:c>
      <x:c r="AH1" s="5" t="str">
        <x:v>Task Roadmap Timeline — Weekly Planning View</x:v>
      </x:c>
      <x:c r="AI1" s="5" t="str">
        <x:v>Task Roadmap Timeline — Weekly Planning View</x:v>
      </x:c>
      <x:c r="AJ1" s="5" t="str">
        <x:v>Task Roadmap Timeline — Weekly Planning View</x:v>
      </x:c>
      <x:c r="AK1" s="5" t="str">
        <x:v>Task Roadmap Timeline — Weekly Planning View</x:v>
      </x:c>
    </x:row>
    <x:row r="2" ht="28" customHeight="1">
      <x:c r="A2" s="5" t="str">
        <x:v>Task Roadmap Timeline — Weekly Planning View</x:v>
      </x:c>
      <x:c r="B2" s="5" t="str">
        <x:v>Task Roadmap Timeline — Weekly Planning View</x:v>
      </x:c>
      <x:c r="C2" s="5" t="str">
        <x:v>Task Roadmap Timeline — Weekly Planning View</x:v>
      </x:c>
      <x:c r="D2" s="5" t="str">
        <x:v>Task Roadmap Timeline — Weekly Planning View</x:v>
      </x:c>
      <x:c r="E2" s="5" t="str">
        <x:v>Task Roadmap Timeline — Weekly Planning View</x:v>
      </x:c>
      <x:c r="F2" s="5" t="str">
        <x:v>Task Roadmap Timeline — Weekly Planning View</x:v>
      </x:c>
      <x:c r="G2" s="5" t="str">
        <x:v>Task Roadmap Timeline — Weekly Planning View</x:v>
      </x:c>
      <x:c r="H2" s="5" t="str">
        <x:v>Task Roadmap Timeline — Weekly Planning View</x:v>
      </x:c>
      <x:c r="I2" s="5" t="str">
        <x:v>Task Roadmap Timeline — Weekly Planning View</x:v>
      </x:c>
      <x:c r="J2" s="5" t="str">
        <x:v>Task Roadmap Timeline — Weekly Planning View</x:v>
      </x:c>
      <x:c r="K2" s="5" t="str">
        <x:v>Task Roadmap Timeline — Weekly Planning View</x:v>
      </x:c>
      <x:c r="L2" s="5" t="str">
        <x:v>Task Roadmap Timeline — Weekly Planning View</x:v>
      </x:c>
      <x:c r="M2" s="5" t="str">
        <x:v>Task Roadmap Timeline — Weekly Planning View</x:v>
      </x:c>
      <x:c r="N2" s="5" t="str">
        <x:v>Task Roadmap Timeline — Weekly Planning View</x:v>
      </x:c>
      <x:c r="O2" s="5" t="str">
        <x:v>Task Roadmap Timeline — Weekly Planning View</x:v>
      </x:c>
      <x:c r="P2" s="5" t="str">
        <x:v>Task Roadmap Timeline — Weekly Planning View</x:v>
      </x:c>
      <x:c r="Q2" s="5" t="str">
        <x:v>Task Roadmap Timeline — Weekly Planning View</x:v>
      </x:c>
      <x:c r="R2" s="5" t="str">
        <x:v>Task Roadmap Timeline — Weekly Planning View</x:v>
      </x:c>
      <x:c r="S2" s="5" t="str">
        <x:v>Task Roadmap Timeline — Weekly Planning View</x:v>
      </x:c>
      <x:c r="T2" s="5" t="str">
        <x:v>Task Roadmap Timeline — Weekly Planning View</x:v>
      </x:c>
      <x:c r="U2" s="5" t="str">
        <x:v>Task Roadmap Timeline — Weekly Planning View</x:v>
      </x:c>
      <x:c r="V2" s="5" t="str">
        <x:v>Task Roadmap Timeline — Weekly Planning View</x:v>
      </x:c>
      <x:c r="W2" s="5" t="str">
        <x:v>Task Roadmap Timeline — Weekly Planning View</x:v>
      </x:c>
      <x:c r="X2" s="5" t="str">
        <x:v>Task Roadmap Timeline — Weekly Planning View</x:v>
      </x:c>
      <x:c r="Y2" s="5" t="str">
        <x:v>Task Roadmap Timeline — Weekly Planning View</x:v>
      </x:c>
      <x:c r="Z2" s="5" t="str">
        <x:v>Task Roadmap Timeline — Weekly Planning View</x:v>
      </x:c>
      <x:c r="AA2" s="5" t="str">
        <x:v>Task Roadmap Timeline — Weekly Planning View</x:v>
      </x:c>
      <x:c r="AB2" s="5" t="str">
        <x:v>Task Roadmap Timeline — Weekly Planning View</x:v>
      </x:c>
      <x:c r="AC2" s="5" t="str">
        <x:v>Task Roadmap Timeline — Weekly Planning View</x:v>
      </x:c>
      <x:c r="AD2" s="5" t="str">
        <x:v>Task Roadmap Timeline — Weekly Planning View</x:v>
      </x:c>
      <x:c r="AE2" s="5" t="str">
        <x:v>Task Roadmap Timeline — Weekly Planning View</x:v>
      </x:c>
      <x:c r="AF2" s="5" t="str">
        <x:v>Task Roadmap Timeline — Weekly Planning View</x:v>
      </x:c>
      <x:c r="AG2" s="5" t="str">
        <x:v>Task Roadmap Timeline — Weekly Planning View</x:v>
      </x:c>
      <x:c r="AH2" s="5" t="str">
        <x:v>Task Roadmap Timeline — Weekly Planning View</x:v>
      </x:c>
      <x:c r="AI2" s="5" t="str">
        <x:v>Task Roadmap Timeline — Weekly Planning View</x:v>
      </x:c>
      <x:c r="AJ2" s="5" t="str">
        <x:v>Task Roadmap Timeline — Weekly Planning View</x:v>
      </x:c>
      <x:c r="AK2" s="5" t="str">
        <x:v>Task Roadmap Timeline — Weekly Planning View</x:v>
      </x:c>
    </x:row>
    <x:row r="3" ht="34" customHeight="1">
      <x:c r="A3" s="14" t="str">
        <x:v>Bars show proposed task windows only. Blank R10 rows are intentional. Status colors: gray Backlog, blue Next, amber In progress, green Done.</x:v>
      </x:c>
      <x:c r="B3" s="15" t="str">
        <x:v>Bars show proposed task windows only. Blank R10 rows are intentional. Status colors: gray Backlog, blue Next, amber In progress, green Done.</x:v>
      </x:c>
      <x:c r="C3" s="15" t="str">
        <x:v>Bars show proposed task windows only. Blank R10 rows are intentional. Status colors: gray Backlog, blue Next, amber In progress, green Done.</x:v>
      </x:c>
      <x:c r="D3" s="15" t="str">
        <x:v>Bars show proposed task windows only. Blank R10 rows are intentional. Status colors: gray Backlog, blue Next, amber In progress, green Done.</x:v>
      </x:c>
      <x:c r="E3" s="15" t="str">
        <x:v>Bars show proposed task windows only. Blank R10 rows are intentional. Status colors: gray Backlog, blue Next, amber In progress, green Done.</x:v>
      </x:c>
      <x:c r="F3" s="15" t="str">
        <x:v>Bars show proposed task windows only. Blank R10 rows are intentional. Status colors: gray Backlog, blue Next, amber In progress, green Done.</x:v>
      </x:c>
      <x:c r="G3" s="15" t="str">
        <x:v>Bars show proposed task windows only. Blank R10 rows are intentional. Status colors: gray Backlog, blue Next, amber In progress, green Done.</x:v>
      </x:c>
      <x:c r="H3" s="15" t="str">
        <x:v>Bars show proposed task windows only. Blank R10 rows are intentional. Status colors: gray Backlog, blue Next, amber In progress, green Done.</x:v>
      </x:c>
      <x:c r="I3" s="15" t="str">
        <x:v>Bars show proposed task windows only. Blank R10 rows are intentional. Status colors: gray Backlog, blue Next, amber In progress, green Done.</x:v>
      </x:c>
      <x:c r="J3" s="15" t="str">
        <x:v>Bars show proposed task windows only. Blank R10 rows are intentional. Status colors: gray Backlog, blue Next, amber In progress, green Done.</x:v>
      </x:c>
      <x:c r="K3" s="15" t="str">
        <x:v>Bars show proposed task windows only. Blank R10 rows are intentional. Status colors: gray Backlog, blue Next, amber In progress, green Done.</x:v>
      </x:c>
      <x:c r="L3" s="15" t="str">
        <x:v>Bars show proposed task windows only. Blank R10 rows are intentional. Status colors: gray Backlog, blue Next, amber In progress, green Done.</x:v>
      </x:c>
      <x:c r="M3" s="15" t="str">
        <x:v>Bars show proposed task windows only. Blank R10 rows are intentional. Status colors: gray Backlog, blue Next, amber In progress, green Done.</x:v>
      </x:c>
      <x:c r="N3" s="15" t="str">
        <x:v>Bars show proposed task windows only. Blank R10 rows are intentional. Status colors: gray Backlog, blue Next, amber In progress, green Done.</x:v>
      </x:c>
      <x:c r="O3" s="15" t="str">
        <x:v>Bars show proposed task windows only. Blank R10 rows are intentional. Status colors: gray Backlog, blue Next, amber In progress, green Done.</x:v>
      </x:c>
      <x:c r="P3" s="15" t="str">
        <x:v>Bars show proposed task windows only. Blank R10 rows are intentional. Status colors: gray Backlog, blue Next, amber In progress, green Done.</x:v>
      </x:c>
      <x:c r="Q3" s="15" t="str">
        <x:v>Bars show proposed task windows only. Blank R10 rows are intentional. Status colors: gray Backlog, blue Next, amber In progress, green Done.</x:v>
      </x:c>
      <x:c r="R3" s="15" t="str">
        <x:v>Bars show proposed task windows only. Blank R10 rows are intentional. Status colors: gray Backlog, blue Next, amber In progress, green Done.</x:v>
      </x:c>
      <x:c r="S3" s="15" t="str">
        <x:v>Bars show proposed task windows only. Blank R10 rows are intentional. Status colors: gray Backlog, blue Next, amber In progress, green Done.</x:v>
      </x:c>
      <x:c r="T3" s="15" t="str">
        <x:v>Bars show proposed task windows only. Blank R10 rows are intentional. Status colors: gray Backlog, blue Next, amber In progress, green Done.</x:v>
      </x:c>
      <x:c r="U3" s="15" t="str">
        <x:v>Bars show proposed task windows only. Blank R10 rows are intentional. Status colors: gray Backlog, blue Next, amber In progress, green Done.</x:v>
      </x:c>
      <x:c r="V3" s="15" t="str">
        <x:v>Bars show proposed task windows only. Blank R10 rows are intentional. Status colors: gray Backlog, blue Next, amber In progress, green Done.</x:v>
      </x:c>
      <x:c r="W3" s="15" t="str">
        <x:v>Bars show proposed task windows only. Blank R10 rows are intentional. Status colors: gray Backlog, blue Next, amber In progress, green Done.</x:v>
      </x:c>
      <x:c r="X3" s="15" t="str">
        <x:v>Bars show proposed task windows only. Blank R10 rows are intentional. Status colors: gray Backlog, blue Next, amber In progress, green Done.</x:v>
      </x:c>
      <x:c r="Y3" s="15" t="str">
        <x:v>Bars show proposed task windows only. Blank R10 rows are intentional. Status colors: gray Backlog, blue Next, amber In progress, green Done.</x:v>
      </x:c>
      <x:c r="Z3" s="15" t="str">
        <x:v>Bars show proposed task windows only. Blank R10 rows are intentional. Status colors: gray Backlog, blue Next, amber In progress, green Done.</x:v>
      </x:c>
      <x:c r="AA3" s="15" t="str">
        <x:v>Bars show proposed task windows only. Blank R10 rows are intentional. Status colors: gray Backlog, blue Next, amber In progress, green Done.</x:v>
      </x:c>
      <x:c r="AB3" s="15" t="str">
        <x:v>Bars show proposed task windows only. Blank R10 rows are intentional. Status colors: gray Backlog, blue Next, amber In progress, green Done.</x:v>
      </x:c>
      <x:c r="AC3" s="15" t="str">
        <x:v>Bars show proposed task windows only. Blank R10 rows are intentional. Status colors: gray Backlog, blue Next, amber In progress, green Done.</x:v>
      </x:c>
      <x:c r="AD3" s="15" t="str">
        <x:v>Bars show proposed task windows only. Blank R10 rows are intentional. Status colors: gray Backlog, blue Next, amber In progress, green Done.</x:v>
      </x:c>
      <x:c r="AE3" s="15" t="str">
        <x:v>Bars show proposed task windows only. Blank R10 rows are intentional. Status colors: gray Backlog, blue Next, amber In progress, green Done.</x:v>
      </x:c>
      <x:c r="AF3" s="15" t="str">
        <x:v>Bars show proposed task windows only. Blank R10 rows are intentional. Status colors: gray Backlog, blue Next, amber In progress, green Done.</x:v>
      </x:c>
      <x:c r="AG3" s="15" t="str">
        <x:v>Bars show proposed task windows only. Blank R10 rows are intentional. Status colors: gray Backlog, blue Next, amber In progress, green Done.</x:v>
      </x:c>
      <x:c r="AH3" s="15" t="str">
        <x:v>Bars show proposed task windows only. Blank R10 rows are intentional. Status colors: gray Backlog, blue Next, amber In progress, green Done.</x:v>
      </x:c>
      <x:c r="AI3" s="15" t="str">
        <x:v>Bars show proposed task windows only. Blank R10 rows are intentional. Status colors: gray Backlog, blue Next, amber In progress, green Done.</x:v>
      </x:c>
      <x:c r="AJ3" s="15" t="str">
        <x:v>Bars show proposed task windows only. Blank R10 rows are intentional. Status colors: gray Backlog, blue Next, amber In progress, green Done.</x:v>
      </x:c>
      <x:c r="AK3" s="16" t="str">
        <x:v>Bars show proposed task windows only. Blank R10 rows are intentional. Status colors: gray Backlog, blue Next, amber In progress, green Done.</x:v>
      </x:c>
    </x:row>
    <x:row r="5" ht="30" customHeight="1">
      <x:c r="A5" s="22" t="str">
        <x:v>ID</x:v>
      </x:c>
      <x:c r="B5" s="22" t="str">
        <x:v>Title</x:v>
      </x:c>
      <x:c r="C5" s="22" t="str">
        <x:v>Status</x:v>
      </x:c>
      <x:c r="D5" s="22" t="str">
        <x:v>Milestone</x:v>
      </x:c>
      <x:c r="E5" s="22" t="str">
        <x:v>Start</x:v>
      </x:c>
      <x:c r="F5" s="22" t="str">
        <x:v>Target</x:v>
      </x:c>
      <x:c r="G5" s="38" t="n">
        <x:v>46251</x:v>
      </x:c>
      <x:c r="H5" s="38" t="n">
        <x:v>46258</x:v>
      </x:c>
      <x:c r="I5" s="38" t="n">
        <x:v>46265</x:v>
      </x:c>
      <x:c r="J5" s="38" t="n">
        <x:v>46272</x:v>
      </x:c>
      <x:c r="K5" s="38" t="n">
        <x:v>46279</x:v>
      </x:c>
      <x:c r="L5" s="38" t="n">
        <x:v>46286</x:v>
      </x:c>
      <x:c r="M5" s="38" t="n">
        <x:v>46293</x:v>
      </x:c>
      <x:c r="N5" s="38" t="n">
        <x:v>46300</x:v>
      </x:c>
      <x:c r="O5" s="38" t="n">
        <x:v>46307</x:v>
      </x:c>
      <x:c r="P5" s="38" t="n">
        <x:v>46314</x:v>
      </x:c>
      <x:c r="Q5" s="38" t="n">
        <x:v>46321</x:v>
      </x:c>
      <x:c r="R5" s="38" t="n">
        <x:v>46328</x:v>
      </x:c>
      <x:c r="S5" s="38" t="n">
        <x:v>46335</x:v>
      </x:c>
      <x:c r="T5" s="38" t="n">
        <x:v>46342</x:v>
      </x:c>
      <x:c r="U5" s="38" t="n">
        <x:v>46349</x:v>
      </x:c>
      <x:c r="V5" s="38" t="n">
        <x:v>46356</x:v>
      </x:c>
      <x:c r="W5" s="38" t="n">
        <x:v>46363</x:v>
      </x:c>
      <x:c r="X5" s="38" t="n">
        <x:v>46370</x:v>
      </x:c>
      <x:c r="Y5" s="38" t="n">
        <x:v>46377</x:v>
      </x:c>
      <x:c r="Z5" s="38" t="n">
        <x:v>46384</x:v>
      </x:c>
      <x:c r="AA5" s="38" t="n">
        <x:v>46391</x:v>
      </x:c>
      <x:c r="AB5" s="38" t="n">
        <x:v>46398</x:v>
      </x:c>
      <x:c r="AC5" s="38" t="n">
        <x:v>46405</x:v>
      </x:c>
      <x:c r="AD5" s="38" t="n">
        <x:v>46412</x:v>
      </x:c>
      <x:c r="AE5" s="38" t="n">
        <x:v>46419</x:v>
      </x:c>
      <x:c r="AF5" s="38" t="n">
        <x:v>46426</x:v>
      </x:c>
      <x:c r="AG5" s="38" t="n">
        <x:v>46433</x:v>
      </x:c>
      <x:c r="AH5" s="38" t="n">
        <x:v>46440</x:v>
      </x:c>
      <x:c r="AI5" s="38" t="n">
        <x:v>46447</x:v>
      </x:c>
      <x:c r="AJ5" s="38" t="n">
        <x:v>46454</x:v>
      </x:c>
      <x:c r="AK5" s="38" t="n">
        <x:v>46461</x:v>
      </x:c>
    </x:row>
    <x:row r="6" ht="28" customHeight="1">
      <x:c r="A6" s="26" t="str">
        <x:v>AUD-001</x:v>
      </x:c>
      <x:c r="B6" s="26" t="str">
        <x:v>v5 Feature Audit</x:v>
      </x:c>
      <x:c r="C6" s="26" t="str">
        <x:v>Done</x:v>
      </x:c>
      <x:c r="D6" s="26" t="str">
        <x:v>P0</x:v>
      </x:c>
      <x:c r="E6" s="31" t="n">
        <x:v>46248</x:v>
      </x:c>
      <x:c r="F6" s="31" t="n">
        <x:v>46248</x:v>
      </x:c>
      <x:c r="G6" s="42" t="str">
        <x:f>IF(OR($E6="",$F6=""),"",IF(AND(G$5&lt;=$F6,G$5+6&gt;=$E6),"■",""))</x:f>
      </x:c>
      <x:c r="H6" s="42" t="str">
        <x:f>IF(OR($E6="",$F6=""),"",IF(AND(H$5&lt;=$F6,H$5+6&gt;=$E6),"■",""))</x:f>
      </x:c>
      <x:c r="I6" s="42" t="str">
        <x:f>IF(OR($E6="",$F6=""),"",IF(AND(I$5&lt;=$F6,I$5+6&gt;=$E6),"■",""))</x:f>
      </x:c>
      <x:c r="J6" s="42" t="str">
        <x:f>IF(OR($E6="",$F6=""),"",IF(AND(J$5&lt;=$F6,J$5+6&gt;=$E6),"■",""))</x:f>
      </x:c>
      <x:c r="K6" s="42" t="str">
        <x:f>IF(OR($E6="",$F6=""),"",IF(AND(K$5&lt;=$F6,K$5+6&gt;=$E6),"■",""))</x:f>
      </x:c>
      <x:c r="L6" s="42" t="str">
        <x:f>IF(OR($E6="",$F6=""),"",IF(AND(L$5&lt;=$F6,L$5+6&gt;=$E6),"■",""))</x:f>
      </x:c>
      <x:c r="M6" s="42" t="str">
        <x:f>IF(OR($E6="",$F6=""),"",IF(AND(M$5&lt;=$F6,M$5+6&gt;=$E6),"■",""))</x:f>
      </x:c>
      <x:c r="N6" s="42" t="str">
        <x:f>IF(OR($E6="",$F6=""),"",IF(AND(N$5&lt;=$F6,N$5+6&gt;=$E6),"■",""))</x:f>
      </x:c>
      <x:c r="O6" s="42" t="str">
        <x:f>IF(OR($E6="",$F6=""),"",IF(AND(O$5&lt;=$F6,O$5+6&gt;=$E6),"■",""))</x:f>
      </x:c>
      <x:c r="P6" s="42" t="str">
        <x:f>IF(OR($E6="",$F6=""),"",IF(AND(P$5&lt;=$F6,P$5+6&gt;=$E6),"■",""))</x:f>
      </x:c>
      <x:c r="Q6" s="42" t="str">
        <x:f>IF(OR($E6="",$F6=""),"",IF(AND(Q$5&lt;=$F6,Q$5+6&gt;=$E6),"■",""))</x:f>
      </x:c>
      <x:c r="R6" s="42" t="str">
        <x:f>IF(OR($E6="",$F6=""),"",IF(AND(R$5&lt;=$F6,R$5+6&gt;=$E6),"■",""))</x:f>
      </x:c>
      <x:c r="S6" s="42" t="str">
        <x:f>IF(OR($E6="",$F6=""),"",IF(AND(S$5&lt;=$F6,S$5+6&gt;=$E6),"■",""))</x:f>
      </x:c>
      <x:c r="T6" s="42" t="str">
        <x:f>IF(OR($E6="",$F6=""),"",IF(AND(T$5&lt;=$F6,T$5+6&gt;=$E6),"■",""))</x:f>
      </x:c>
      <x:c r="U6" s="42" t="str">
        <x:f>IF(OR($E6="",$F6=""),"",IF(AND(U$5&lt;=$F6,U$5+6&gt;=$E6),"■",""))</x:f>
      </x:c>
      <x:c r="V6" s="42" t="str">
        <x:f>IF(OR($E6="",$F6=""),"",IF(AND(V$5&lt;=$F6,V$5+6&gt;=$E6),"■",""))</x:f>
      </x:c>
      <x:c r="W6" s="42" t="str">
        <x:f>IF(OR($E6="",$F6=""),"",IF(AND(W$5&lt;=$F6,W$5+6&gt;=$E6),"■",""))</x:f>
      </x:c>
      <x:c r="X6" s="42" t="str">
        <x:f>IF(OR($E6="",$F6=""),"",IF(AND(X$5&lt;=$F6,X$5+6&gt;=$E6),"■",""))</x:f>
      </x:c>
      <x:c r="Y6" s="42" t="str">
        <x:f>IF(OR($E6="",$F6=""),"",IF(AND(Y$5&lt;=$F6,Y$5+6&gt;=$E6),"■",""))</x:f>
      </x:c>
      <x:c r="Z6" s="42" t="str">
        <x:f>IF(OR($E6="",$F6=""),"",IF(AND(Z$5&lt;=$F6,Z$5+6&gt;=$E6),"■",""))</x:f>
      </x:c>
      <x:c r="AA6" s="42" t="str">
        <x:f>IF(OR($E6="",$F6=""),"",IF(AND(AA$5&lt;=$F6,AA$5+6&gt;=$E6),"■",""))</x:f>
      </x:c>
      <x:c r="AB6" s="42" t="str">
        <x:f>IF(OR($E6="",$F6=""),"",IF(AND(AB$5&lt;=$F6,AB$5+6&gt;=$E6),"■",""))</x:f>
      </x:c>
      <x:c r="AC6" s="42" t="str">
        <x:f>IF(OR($E6="",$F6=""),"",IF(AND(AC$5&lt;=$F6,AC$5+6&gt;=$E6),"■",""))</x:f>
      </x:c>
      <x:c r="AD6" s="42" t="str">
        <x:f>IF(OR($E6="",$F6=""),"",IF(AND(AD$5&lt;=$F6,AD$5+6&gt;=$E6),"■",""))</x:f>
      </x:c>
      <x:c r="AE6" s="42" t="str">
        <x:f>IF(OR($E6="",$F6=""),"",IF(AND(AE$5&lt;=$F6,AE$5+6&gt;=$E6),"■",""))</x:f>
      </x:c>
      <x:c r="AF6" s="42" t="str">
        <x:f>IF(OR($E6="",$F6=""),"",IF(AND(AF$5&lt;=$F6,AF$5+6&gt;=$E6),"■",""))</x:f>
      </x:c>
      <x:c r="AG6" s="42" t="str">
        <x:f>IF(OR($E6="",$F6=""),"",IF(AND(AG$5&lt;=$F6,AG$5+6&gt;=$E6),"■",""))</x:f>
      </x:c>
      <x:c r="AH6" s="42" t="str">
        <x:f>IF(OR($E6="",$F6=""),"",IF(AND(AH$5&lt;=$F6,AH$5+6&gt;=$E6),"■",""))</x:f>
      </x:c>
      <x:c r="AI6" s="42" t="str">
        <x:f>IF(OR($E6="",$F6=""),"",IF(AND(AI$5&lt;=$F6,AI$5+6&gt;=$E6),"■",""))</x:f>
      </x:c>
      <x:c r="AJ6" s="42" t="str">
        <x:f>IF(OR($E6="",$F6=""),"",IF(AND(AJ$5&lt;=$F6,AJ$5+6&gt;=$E6),"■",""))</x:f>
      </x:c>
      <x:c r="AK6" s="42" t="str">
        <x:f>IF(OR($E6="",$F6=""),"",IF(AND(AK$5&lt;=$F6,AK$5+6&gt;=$E6),"■",""))</x:f>
      </x:c>
    </x:row>
    <x:row r="7" ht="28" customHeight="1">
      <x:c r="A7" s="26" t="str">
        <x:v>PC-001</x:v>
      </x:c>
      <x:c r="B7" s="26" t="str">
        <x:v>Integrated Council Planning Package</x:v>
      </x:c>
      <x:c r="C7" s="26" t="str">
        <x:v>Done</x:v>
      </x:c>
      <x:c r="D7" s="26" t="str">
        <x:v>P0</x:v>
      </x:c>
      <x:c r="E7" s="31" t="n">
        <x:v>46248</x:v>
      </x:c>
      <x:c r="F7" s="31" t="n">
        <x:v>46250</x:v>
      </x:c>
      <x:c r="G7" s="42" t="str">
        <x:f>IF(OR($E7="",$F7=""),"",IF(AND(G$5&lt;=$F7,G$5+6&gt;=$E7),"■",""))</x:f>
      </x:c>
      <x:c r="H7" s="42" t="str">
        <x:f>IF(OR($E7="",$F7=""),"",IF(AND(H$5&lt;=$F7,H$5+6&gt;=$E7),"■",""))</x:f>
      </x:c>
      <x:c r="I7" s="42" t="str">
        <x:f>IF(OR($E7="",$F7=""),"",IF(AND(I$5&lt;=$F7,I$5+6&gt;=$E7),"■",""))</x:f>
      </x:c>
      <x:c r="J7" s="42" t="str">
        <x:f>IF(OR($E7="",$F7=""),"",IF(AND(J$5&lt;=$F7,J$5+6&gt;=$E7),"■",""))</x:f>
      </x:c>
      <x:c r="K7" s="42" t="str">
        <x:f>IF(OR($E7="",$F7=""),"",IF(AND(K$5&lt;=$F7,K$5+6&gt;=$E7),"■",""))</x:f>
      </x:c>
      <x:c r="L7" s="42" t="str">
        <x:f>IF(OR($E7="",$F7=""),"",IF(AND(L$5&lt;=$F7,L$5+6&gt;=$E7),"■",""))</x:f>
      </x:c>
      <x:c r="M7" s="42" t="str">
        <x:f>IF(OR($E7="",$F7=""),"",IF(AND(M$5&lt;=$F7,M$5+6&gt;=$E7),"■",""))</x:f>
      </x:c>
      <x:c r="N7" s="42" t="str">
        <x:f>IF(OR($E7="",$F7=""),"",IF(AND(N$5&lt;=$F7,N$5+6&gt;=$E7),"■",""))</x:f>
      </x:c>
      <x:c r="O7" s="42" t="str">
        <x:f>IF(OR($E7="",$F7=""),"",IF(AND(O$5&lt;=$F7,O$5+6&gt;=$E7),"■",""))</x:f>
      </x:c>
      <x:c r="P7" s="42" t="str">
        <x:f>IF(OR($E7="",$F7=""),"",IF(AND(P$5&lt;=$F7,P$5+6&gt;=$E7),"■",""))</x:f>
      </x:c>
      <x:c r="Q7" s="42" t="str">
        <x:f>IF(OR($E7="",$F7=""),"",IF(AND(Q$5&lt;=$F7,Q$5+6&gt;=$E7),"■",""))</x:f>
      </x:c>
      <x:c r="R7" s="42" t="str">
        <x:f>IF(OR($E7="",$F7=""),"",IF(AND(R$5&lt;=$F7,R$5+6&gt;=$E7),"■",""))</x:f>
      </x:c>
      <x:c r="S7" s="42" t="str">
        <x:f>IF(OR($E7="",$F7=""),"",IF(AND(S$5&lt;=$F7,S$5+6&gt;=$E7),"■",""))</x:f>
      </x:c>
      <x:c r="T7" s="42" t="str">
        <x:f>IF(OR($E7="",$F7=""),"",IF(AND(T$5&lt;=$F7,T$5+6&gt;=$E7),"■",""))</x:f>
      </x:c>
      <x:c r="U7" s="42" t="str">
        <x:f>IF(OR($E7="",$F7=""),"",IF(AND(U$5&lt;=$F7,U$5+6&gt;=$E7),"■",""))</x:f>
      </x:c>
      <x:c r="V7" s="42" t="str">
        <x:f>IF(OR($E7="",$F7=""),"",IF(AND(V$5&lt;=$F7,V$5+6&gt;=$E7),"■",""))</x:f>
      </x:c>
      <x:c r="W7" s="42" t="str">
        <x:f>IF(OR($E7="",$F7=""),"",IF(AND(W$5&lt;=$F7,W$5+6&gt;=$E7),"■",""))</x:f>
      </x:c>
      <x:c r="X7" s="42" t="str">
        <x:f>IF(OR($E7="",$F7=""),"",IF(AND(X$5&lt;=$F7,X$5+6&gt;=$E7),"■",""))</x:f>
      </x:c>
      <x:c r="Y7" s="42" t="str">
        <x:f>IF(OR($E7="",$F7=""),"",IF(AND(Y$5&lt;=$F7,Y$5+6&gt;=$E7),"■",""))</x:f>
      </x:c>
      <x:c r="Z7" s="42" t="str">
        <x:f>IF(OR($E7="",$F7=""),"",IF(AND(Z$5&lt;=$F7,Z$5+6&gt;=$E7),"■",""))</x:f>
      </x:c>
      <x:c r="AA7" s="42" t="str">
        <x:f>IF(OR($E7="",$F7=""),"",IF(AND(AA$5&lt;=$F7,AA$5+6&gt;=$E7),"■",""))</x:f>
      </x:c>
      <x:c r="AB7" s="42" t="str">
        <x:f>IF(OR($E7="",$F7=""),"",IF(AND(AB$5&lt;=$F7,AB$5+6&gt;=$E7),"■",""))</x:f>
      </x:c>
      <x:c r="AC7" s="42" t="str">
        <x:f>IF(OR($E7="",$F7=""),"",IF(AND(AC$5&lt;=$F7,AC$5+6&gt;=$E7),"■",""))</x:f>
      </x:c>
      <x:c r="AD7" s="42" t="str">
        <x:f>IF(OR($E7="",$F7=""),"",IF(AND(AD$5&lt;=$F7,AD$5+6&gt;=$E7),"■",""))</x:f>
      </x:c>
      <x:c r="AE7" s="42" t="str">
        <x:f>IF(OR($E7="",$F7=""),"",IF(AND(AE$5&lt;=$F7,AE$5+6&gt;=$E7),"■",""))</x:f>
      </x:c>
      <x:c r="AF7" s="42" t="str">
        <x:f>IF(OR($E7="",$F7=""),"",IF(AND(AF$5&lt;=$F7,AF$5+6&gt;=$E7),"■",""))</x:f>
      </x:c>
      <x:c r="AG7" s="42" t="str">
        <x:f>IF(OR($E7="",$F7=""),"",IF(AND(AG$5&lt;=$F7,AG$5+6&gt;=$E7),"■",""))</x:f>
      </x:c>
      <x:c r="AH7" s="42" t="str">
        <x:f>IF(OR($E7="",$F7=""),"",IF(AND(AH$5&lt;=$F7,AH$5+6&gt;=$E7),"■",""))</x:f>
      </x:c>
      <x:c r="AI7" s="42" t="str">
        <x:f>IF(OR($E7="",$F7=""),"",IF(AND(AI$5&lt;=$F7,AI$5+6&gt;=$E7),"■",""))</x:f>
      </x:c>
      <x:c r="AJ7" s="42" t="str">
        <x:f>IF(OR($E7="",$F7=""),"",IF(AND(AJ$5&lt;=$F7,AJ$5+6&gt;=$E7),"■",""))</x:f>
      </x:c>
      <x:c r="AK7" s="42" t="str">
        <x:f>IF(OR($E7="",$F7=""),"",IF(AND(AK$5&lt;=$F7,AK$5+6&gt;=$E7),"■",""))</x:f>
      </x:c>
    </x:row>
    <x:row r="8" ht="28" customHeight="1">
      <x:c r="A8" s="26" t="str">
        <x:v>SPK-R0-001</x:v>
      </x:c>
      <x:c r="B8" s="26" t="str">
        <x:v>Shared-host Coexistence &amp; Rollback Spike</x:v>
      </x:c>
      <x:c r="C8" s="26" t="str">
        <x:v>In progress</x:v>
      </x:c>
      <x:c r="D8" s="26" t="str">
        <x:v>R0</x:v>
      </x:c>
      <x:c r="E8" s="31" t="n">
        <x:v>46251</x:v>
      </x:c>
      <x:c r="F8" s="31" t="n">
        <x:v>46253</x:v>
      </x:c>
      <x:c r="G8" s="42" t="str">
        <x:f>IF(OR($E8="",$F8=""),"",IF(AND(G$5&lt;=$F8,G$5+6&gt;=$E8),"■",""))</x:f>
        <x:v>■</x:v>
      </x:c>
      <x:c r="H8" s="42" t="str">
        <x:f>IF(OR($E8="",$F8=""),"",IF(AND(H$5&lt;=$F8,H$5+6&gt;=$E8),"■",""))</x:f>
      </x:c>
      <x:c r="I8" s="42" t="str">
        <x:f>IF(OR($E8="",$F8=""),"",IF(AND(I$5&lt;=$F8,I$5+6&gt;=$E8),"■",""))</x:f>
      </x:c>
      <x:c r="J8" s="42" t="str">
        <x:f>IF(OR($E8="",$F8=""),"",IF(AND(J$5&lt;=$F8,J$5+6&gt;=$E8),"■",""))</x:f>
      </x:c>
      <x:c r="K8" s="42" t="str">
        <x:f>IF(OR($E8="",$F8=""),"",IF(AND(K$5&lt;=$F8,K$5+6&gt;=$E8),"■",""))</x:f>
      </x:c>
      <x:c r="L8" s="42" t="str">
        <x:f>IF(OR($E8="",$F8=""),"",IF(AND(L$5&lt;=$F8,L$5+6&gt;=$E8),"■",""))</x:f>
      </x:c>
      <x:c r="M8" s="42" t="str">
        <x:f>IF(OR($E8="",$F8=""),"",IF(AND(M$5&lt;=$F8,M$5+6&gt;=$E8),"■",""))</x:f>
      </x:c>
      <x:c r="N8" s="42" t="str">
        <x:f>IF(OR($E8="",$F8=""),"",IF(AND(N$5&lt;=$F8,N$5+6&gt;=$E8),"■",""))</x:f>
      </x:c>
      <x:c r="O8" s="42" t="str">
        <x:f>IF(OR($E8="",$F8=""),"",IF(AND(O$5&lt;=$F8,O$5+6&gt;=$E8),"■",""))</x:f>
      </x:c>
      <x:c r="P8" s="42" t="str">
        <x:f>IF(OR($E8="",$F8=""),"",IF(AND(P$5&lt;=$F8,P$5+6&gt;=$E8),"■",""))</x:f>
      </x:c>
      <x:c r="Q8" s="42" t="str">
        <x:f>IF(OR($E8="",$F8=""),"",IF(AND(Q$5&lt;=$F8,Q$5+6&gt;=$E8),"■",""))</x:f>
      </x:c>
      <x:c r="R8" s="42" t="str">
        <x:f>IF(OR($E8="",$F8=""),"",IF(AND(R$5&lt;=$F8,R$5+6&gt;=$E8),"■",""))</x:f>
      </x:c>
      <x:c r="S8" s="42" t="str">
        <x:f>IF(OR($E8="",$F8=""),"",IF(AND(S$5&lt;=$F8,S$5+6&gt;=$E8),"■",""))</x:f>
      </x:c>
      <x:c r="T8" s="42" t="str">
        <x:f>IF(OR($E8="",$F8=""),"",IF(AND(T$5&lt;=$F8,T$5+6&gt;=$E8),"■",""))</x:f>
      </x:c>
      <x:c r="U8" s="42" t="str">
        <x:f>IF(OR($E8="",$F8=""),"",IF(AND(U$5&lt;=$F8,U$5+6&gt;=$E8),"■",""))</x:f>
      </x:c>
      <x:c r="V8" s="42" t="str">
        <x:f>IF(OR($E8="",$F8=""),"",IF(AND(V$5&lt;=$F8,V$5+6&gt;=$E8),"■",""))</x:f>
      </x:c>
      <x:c r="W8" s="42" t="str">
        <x:f>IF(OR($E8="",$F8=""),"",IF(AND(W$5&lt;=$F8,W$5+6&gt;=$E8),"■",""))</x:f>
      </x:c>
      <x:c r="X8" s="42" t="str">
        <x:f>IF(OR($E8="",$F8=""),"",IF(AND(X$5&lt;=$F8,X$5+6&gt;=$E8),"■",""))</x:f>
      </x:c>
      <x:c r="Y8" s="42" t="str">
        <x:f>IF(OR($E8="",$F8=""),"",IF(AND(Y$5&lt;=$F8,Y$5+6&gt;=$E8),"■",""))</x:f>
      </x:c>
      <x:c r="Z8" s="42" t="str">
        <x:f>IF(OR($E8="",$F8=""),"",IF(AND(Z$5&lt;=$F8,Z$5+6&gt;=$E8),"■",""))</x:f>
      </x:c>
      <x:c r="AA8" s="42" t="str">
        <x:f>IF(OR($E8="",$F8=""),"",IF(AND(AA$5&lt;=$F8,AA$5+6&gt;=$E8),"■",""))</x:f>
      </x:c>
      <x:c r="AB8" s="42" t="str">
        <x:f>IF(OR($E8="",$F8=""),"",IF(AND(AB$5&lt;=$F8,AB$5+6&gt;=$E8),"■",""))</x:f>
      </x:c>
      <x:c r="AC8" s="42" t="str">
        <x:f>IF(OR($E8="",$F8=""),"",IF(AND(AC$5&lt;=$F8,AC$5+6&gt;=$E8),"■",""))</x:f>
      </x:c>
      <x:c r="AD8" s="42" t="str">
        <x:f>IF(OR($E8="",$F8=""),"",IF(AND(AD$5&lt;=$F8,AD$5+6&gt;=$E8),"■",""))</x:f>
      </x:c>
      <x:c r="AE8" s="42" t="str">
        <x:f>IF(OR($E8="",$F8=""),"",IF(AND(AE$5&lt;=$F8,AE$5+6&gt;=$E8),"■",""))</x:f>
      </x:c>
      <x:c r="AF8" s="42" t="str">
        <x:f>IF(OR($E8="",$F8=""),"",IF(AND(AF$5&lt;=$F8,AF$5+6&gt;=$E8),"■",""))</x:f>
      </x:c>
      <x:c r="AG8" s="42" t="str">
        <x:f>IF(OR($E8="",$F8=""),"",IF(AND(AG$5&lt;=$F8,AG$5+6&gt;=$E8),"■",""))</x:f>
      </x:c>
      <x:c r="AH8" s="42" t="str">
        <x:f>IF(OR($E8="",$F8=""),"",IF(AND(AH$5&lt;=$F8,AH$5+6&gt;=$E8),"■",""))</x:f>
      </x:c>
      <x:c r="AI8" s="42" t="str">
        <x:f>IF(OR($E8="",$F8=""),"",IF(AND(AI$5&lt;=$F8,AI$5+6&gt;=$E8),"■",""))</x:f>
      </x:c>
      <x:c r="AJ8" s="42" t="str">
        <x:f>IF(OR($E8="",$F8=""),"",IF(AND(AJ$5&lt;=$F8,AJ$5+6&gt;=$E8),"■",""))</x:f>
      </x:c>
      <x:c r="AK8" s="42" t="str">
        <x:f>IF(OR($E8="",$F8=""),"",IF(AND(AK$5&lt;=$F8,AK$5+6&gt;=$E8),"■",""))</x:f>
      </x:c>
    </x:row>
    <x:row r="9" ht="28" customHeight="1">
      <x:c r="A9" s="26" t="str">
        <x:v>PRD-R0-001</x:v>
      </x:c>
      <x:c r="B9" s="26" t="str">
        <x:v>Private Foundation PRD</x:v>
      </x:c>
      <x:c r="C9" s="26" t="str">
        <x:v>Done</x:v>
      </x:c>
      <x:c r="D9" s="26" t="str">
        <x:v>R0</x:v>
      </x:c>
      <x:c r="E9" s="31" t="n">
        <x:v>46251</x:v>
      </x:c>
      <x:c r="F9" s="31" t="n">
        <x:v>46254</x:v>
      </x:c>
      <x:c r="G9" s="42" t="str">
        <x:f>IF(OR($E9="",$F9=""),"",IF(AND(G$5&lt;=$F9,G$5+6&gt;=$E9),"■",""))</x:f>
        <x:v>■</x:v>
      </x:c>
      <x:c r="H9" s="42" t="str">
        <x:f>IF(OR($E9="",$F9=""),"",IF(AND(H$5&lt;=$F9,H$5+6&gt;=$E9),"■",""))</x:f>
      </x:c>
      <x:c r="I9" s="42" t="str">
        <x:f>IF(OR($E9="",$F9=""),"",IF(AND(I$5&lt;=$F9,I$5+6&gt;=$E9),"■",""))</x:f>
      </x:c>
      <x:c r="J9" s="42" t="str">
        <x:f>IF(OR($E9="",$F9=""),"",IF(AND(J$5&lt;=$F9,J$5+6&gt;=$E9),"■",""))</x:f>
      </x:c>
      <x:c r="K9" s="42" t="str">
        <x:f>IF(OR($E9="",$F9=""),"",IF(AND(K$5&lt;=$F9,K$5+6&gt;=$E9),"■",""))</x:f>
      </x:c>
      <x:c r="L9" s="42" t="str">
        <x:f>IF(OR($E9="",$F9=""),"",IF(AND(L$5&lt;=$F9,L$5+6&gt;=$E9),"■",""))</x:f>
      </x:c>
      <x:c r="M9" s="42" t="str">
        <x:f>IF(OR($E9="",$F9=""),"",IF(AND(M$5&lt;=$F9,M$5+6&gt;=$E9),"■",""))</x:f>
      </x:c>
      <x:c r="N9" s="42" t="str">
        <x:f>IF(OR($E9="",$F9=""),"",IF(AND(N$5&lt;=$F9,N$5+6&gt;=$E9),"■",""))</x:f>
      </x:c>
      <x:c r="O9" s="42" t="str">
        <x:f>IF(OR($E9="",$F9=""),"",IF(AND(O$5&lt;=$F9,O$5+6&gt;=$E9),"■",""))</x:f>
      </x:c>
      <x:c r="P9" s="42" t="str">
        <x:f>IF(OR($E9="",$F9=""),"",IF(AND(P$5&lt;=$F9,P$5+6&gt;=$E9),"■",""))</x:f>
      </x:c>
      <x:c r="Q9" s="42" t="str">
        <x:f>IF(OR($E9="",$F9=""),"",IF(AND(Q$5&lt;=$F9,Q$5+6&gt;=$E9),"■",""))</x:f>
      </x:c>
      <x:c r="R9" s="42" t="str">
        <x:f>IF(OR($E9="",$F9=""),"",IF(AND(R$5&lt;=$F9,R$5+6&gt;=$E9),"■",""))</x:f>
      </x:c>
      <x:c r="S9" s="42" t="str">
        <x:f>IF(OR($E9="",$F9=""),"",IF(AND(S$5&lt;=$F9,S$5+6&gt;=$E9),"■",""))</x:f>
      </x:c>
      <x:c r="T9" s="42" t="str">
        <x:f>IF(OR($E9="",$F9=""),"",IF(AND(T$5&lt;=$F9,T$5+6&gt;=$E9),"■",""))</x:f>
      </x:c>
      <x:c r="U9" s="42" t="str">
        <x:f>IF(OR($E9="",$F9=""),"",IF(AND(U$5&lt;=$F9,U$5+6&gt;=$E9),"■",""))</x:f>
      </x:c>
      <x:c r="V9" s="42" t="str">
        <x:f>IF(OR($E9="",$F9=""),"",IF(AND(V$5&lt;=$F9,V$5+6&gt;=$E9),"■",""))</x:f>
      </x:c>
      <x:c r="W9" s="42" t="str">
        <x:f>IF(OR($E9="",$F9=""),"",IF(AND(W$5&lt;=$F9,W$5+6&gt;=$E9),"■",""))</x:f>
      </x:c>
      <x:c r="X9" s="42" t="str">
        <x:f>IF(OR($E9="",$F9=""),"",IF(AND(X$5&lt;=$F9,X$5+6&gt;=$E9),"■",""))</x:f>
      </x:c>
      <x:c r="Y9" s="42" t="str">
        <x:f>IF(OR($E9="",$F9=""),"",IF(AND(Y$5&lt;=$F9,Y$5+6&gt;=$E9),"■",""))</x:f>
      </x:c>
      <x:c r="Z9" s="42" t="str">
        <x:f>IF(OR($E9="",$F9=""),"",IF(AND(Z$5&lt;=$F9,Z$5+6&gt;=$E9),"■",""))</x:f>
      </x:c>
      <x:c r="AA9" s="42" t="str">
        <x:f>IF(OR($E9="",$F9=""),"",IF(AND(AA$5&lt;=$F9,AA$5+6&gt;=$E9),"■",""))</x:f>
      </x:c>
      <x:c r="AB9" s="42" t="str">
        <x:f>IF(OR($E9="",$F9=""),"",IF(AND(AB$5&lt;=$F9,AB$5+6&gt;=$E9),"■",""))</x:f>
      </x:c>
      <x:c r="AC9" s="42" t="str">
        <x:f>IF(OR($E9="",$F9=""),"",IF(AND(AC$5&lt;=$F9,AC$5+6&gt;=$E9),"■",""))</x:f>
      </x:c>
      <x:c r="AD9" s="42" t="str">
        <x:f>IF(OR($E9="",$F9=""),"",IF(AND(AD$5&lt;=$F9,AD$5+6&gt;=$E9),"■",""))</x:f>
      </x:c>
      <x:c r="AE9" s="42" t="str">
        <x:f>IF(OR($E9="",$F9=""),"",IF(AND(AE$5&lt;=$F9,AE$5+6&gt;=$E9),"■",""))</x:f>
      </x:c>
      <x:c r="AF9" s="42" t="str">
        <x:f>IF(OR($E9="",$F9=""),"",IF(AND(AF$5&lt;=$F9,AF$5+6&gt;=$E9),"■",""))</x:f>
      </x:c>
      <x:c r="AG9" s="42" t="str">
        <x:f>IF(OR($E9="",$F9=""),"",IF(AND(AG$5&lt;=$F9,AG$5+6&gt;=$E9),"■",""))</x:f>
      </x:c>
      <x:c r="AH9" s="42" t="str">
        <x:f>IF(OR($E9="",$F9=""),"",IF(AND(AH$5&lt;=$F9,AH$5+6&gt;=$E9),"■",""))</x:f>
      </x:c>
      <x:c r="AI9" s="42" t="str">
        <x:f>IF(OR($E9="",$F9=""),"",IF(AND(AI$5&lt;=$F9,AI$5+6&gt;=$E9),"■",""))</x:f>
      </x:c>
      <x:c r="AJ9" s="42" t="str">
        <x:f>IF(OR($E9="",$F9=""),"",IF(AND(AJ$5&lt;=$F9,AJ$5+6&gt;=$E9),"■",""))</x:f>
      </x:c>
      <x:c r="AK9" s="42" t="str">
        <x:f>IF(OR($E9="",$F9=""),"",IF(AND(AK$5&lt;=$F9,AK$5+6&gt;=$E9),"■",""))</x:f>
      </x:c>
    </x:row>
    <x:row r="10" ht="28" customHeight="1">
      <x:c r="A10" s="26" t="str">
        <x:v>UX-R0-001</x:v>
      </x:c>
      <x:c r="B10" s="26" t="str">
        <x:v>First-use/Access/Health States</x:v>
      </x:c>
      <x:c r="C10" s="26" t="str">
        <x:v>Next</x:v>
      </x:c>
      <x:c r="D10" s="26" t="str">
        <x:v>R0</x:v>
      </x:c>
      <x:c r="E10" s="31" t="n">
        <x:v>46252</x:v>
      </x:c>
      <x:c r="F10" s="31" t="n">
        <x:v>46255</x:v>
      </x:c>
      <x:c r="G10" s="42" t="str">
        <x:f>IF(OR($E10="",$F10=""),"",IF(AND(G$5&lt;=$F10,G$5+6&gt;=$E10),"■",""))</x:f>
        <x:v>■</x:v>
      </x:c>
      <x:c r="H10" s="42" t="str">
        <x:f>IF(OR($E10="",$F10=""),"",IF(AND(H$5&lt;=$F10,H$5+6&gt;=$E10),"■",""))</x:f>
      </x:c>
      <x:c r="I10" s="42" t="str">
        <x:f>IF(OR($E10="",$F10=""),"",IF(AND(I$5&lt;=$F10,I$5+6&gt;=$E10),"■",""))</x:f>
      </x:c>
      <x:c r="J10" s="42" t="str">
        <x:f>IF(OR($E10="",$F10=""),"",IF(AND(J$5&lt;=$F10,J$5+6&gt;=$E10),"■",""))</x:f>
      </x:c>
      <x:c r="K10" s="42" t="str">
        <x:f>IF(OR($E10="",$F10=""),"",IF(AND(K$5&lt;=$F10,K$5+6&gt;=$E10),"■",""))</x:f>
      </x:c>
      <x:c r="L10" s="42" t="str">
        <x:f>IF(OR($E10="",$F10=""),"",IF(AND(L$5&lt;=$F10,L$5+6&gt;=$E10),"■",""))</x:f>
      </x:c>
      <x:c r="M10" s="42" t="str">
        <x:f>IF(OR($E10="",$F10=""),"",IF(AND(M$5&lt;=$F10,M$5+6&gt;=$E10),"■",""))</x:f>
      </x:c>
      <x:c r="N10" s="42" t="str">
        <x:f>IF(OR($E10="",$F10=""),"",IF(AND(N$5&lt;=$F10,N$5+6&gt;=$E10),"■",""))</x:f>
      </x:c>
      <x:c r="O10" s="42" t="str">
        <x:f>IF(OR($E10="",$F10=""),"",IF(AND(O$5&lt;=$F10,O$5+6&gt;=$E10),"■",""))</x:f>
      </x:c>
      <x:c r="P10" s="42" t="str">
        <x:f>IF(OR($E10="",$F10=""),"",IF(AND(P$5&lt;=$F10,P$5+6&gt;=$E10),"■",""))</x:f>
      </x:c>
      <x:c r="Q10" s="42" t="str">
        <x:f>IF(OR($E10="",$F10=""),"",IF(AND(Q$5&lt;=$F10,Q$5+6&gt;=$E10),"■",""))</x:f>
      </x:c>
      <x:c r="R10" s="42" t="str">
        <x:f>IF(OR($E10="",$F10=""),"",IF(AND(R$5&lt;=$F10,R$5+6&gt;=$E10),"■",""))</x:f>
      </x:c>
      <x:c r="S10" s="42" t="str">
        <x:f>IF(OR($E10="",$F10=""),"",IF(AND(S$5&lt;=$F10,S$5+6&gt;=$E10),"■",""))</x:f>
      </x:c>
      <x:c r="T10" s="42" t="str">
        <x:f>IF(OR($E10="",$F10=""),"",IF(AND(T$5&lt;=$F10,T$5+6&gt;=$E10),"■",""))</x:f>
      </x:c>
      <x:c r="U10" s="42" t="str">
        <x:f>IF(OR($E10="",$F10=""),"",IF(AND(U$5&lt;=$F10,U$5+6&gt;=$E10),"■",""))</x:f>
      </x:c>
      <x:c r="V10" s="42" t="str">
        <x:f>IF(OR($E10="",$F10=""),"",IF(AND(V$5&lt;=$F10,V$5+6&gt;=$E10),"■",""))</x:f>
      </x:c>
      <x:c r="W10" s="42" t="str">
        <x:f>IF(OR($E10="",$F10=""),"",IF(AND(W$5&lt;=$F10,W$5+6&gt;=$E10),"■",""))</x:f>
      </x:c>
      <x:c r="X10" s="42" t="str">
        <x:f>IF(OR($E10="",$F10=""),"",IF(AND(X$5&lt;=$F10,X$5+6&gt;=$E10),"■",""))</x:f>
      </x:c>
      <x:c r="Y10" s="42" t="str">
        <x:f>IF(OR($E10="",$F10=""),"",IF(AND(Y$5&lt;=$F10,Y$5+6&gt;=$E10),"■",""))</x:f>
      </x:c>
      <x:c r="Z10" s="42" t="str">
        <x:f>IF(OR($E10="",$F10=""),"",IF(AND(Z$5&lt;=$F10,Z$5+6&gt;=$E10),"■",""))</x:f>
      </x:c>
      <x:c r="AA10" s="42" t="str">
        <x:f>IF(OR($E10="",$F10=""),"",IF(AND(AA$5&lt;=$F10,AA$5+6&gt;=$E10),"■",""))</x:f>
      </x:c>
      <x:c r="AB10" s="42" t="str">
        <x:f>IF(OR($E10="",$F10=""),"",IF(AND(AB$5&lt;=$F10,AB$5+6&gt;=$E10),"■",""))</x:f>
      </x:c>
      <x:c r="AC10" s="42" t="str">
        <x:f>IF(OR($E10="",$F10=""),"",IF(AND(AC$5&lt;=$F10,AC$5+6&gt;=$E10),"■",""))</x:f>
      </x:c>
      <x:c r="AD10" s="42" t="str">
        <x:f>IF(OR($E10="",$F10=""),"",IF(AND(AD$5&lt;=$F10,AD$5+6&gt;=$E10),"■",""))</x:f>
      </x:c>
      <x:c r="AE10" s="42" t="str">
        <x:f>IF(OR($E10="",$F10=""),"",IF(AND(AE$5&lt;=$F10,AE$5+6&gt;=$E10),"■",""))</x:f>
      </x:c>
      <x:c r="AF10" s="42" t="str">
        <x:f>IF(OR($E10="",$F10=""),"",IF(AND(AF$5&lt;=$F10,AF$5+6&gt;=$E10),"■",""))</x:f>
      </x:c>
      <x:c r="AG10" s="42" t="str">
        <x:f>IF(OR($E10="",$F10=""),"",IF(AND(AG$5&lt;=$F10,AG$5+6&gt;=$E10),"■",""))</x:f>
      </x:c>
      <x:c r="AH10" s="42" t="str">
        <x:f>IF(OR($E10="",$F10=""),"",IF(AND(AH$5&lt;=$F10,AH$5+6&gt;=$E10),"■",""))</x:f>
      </x:c>
      <x:c r="AI10" s="42" t="str">
        <x:f>IF(OR($E10="",$F10=""),"",IF(AND(AI$5&lt;=$F10,AI$5+6&gt;=$E10),"■",""))</x:f>
      </x:c>
      <x:c r="AJ10" s="42" t="str">
        <x:f>IF(OR($E10="",$F10=""),"",IF(AND(AJ$5&lt;=$F10,AJ$5+6&gt;=$E10),"■",""))</x:f>
      </x:c>
      <x:c r="AK10" s="42" t="str">
        <x:f>IF(OR($E10="",$F10=""),"",IF(AND(AK$5&lt;=$F10,AK$5+6&gt;=$E10),"■",""))</x:f>
      </x:c>
    </x:row>
    <x:row r="11" ht="28" customHeight="1">
      <x:c r="A11" s="26" t="str">
        <x:v>ARCH-R0-001</x:v>
      </x:c>
      <x:c r="B11" s="26" t="str">
        <x:v>Private Shell Architecture &amp; Threat Baseline</x:v>
      </x:c>
      <x:c r="C11" s="26" t="str">
        <x:v>Next</x:v>
      </x:c>
      <x:c r="D11" s="26" t="str">
        <x:v>R0</x:v>
      </x:c>
      <x:c r="E11" s="31" t="n">
        <x:v>46251</x:v>
      </x:c>
      <x:c r="F11" s="31" t="n">
        <x:v>46255</x:v>
      </x:c>
      <x:c r="G11" s="42" t="str">
        <x:f>IF(OR($E11="",$F11=""),"",IF(AND(G$5&lt;=$F11,G$5+6&gt;=$E11),"■",""))</x:f>
        <x:v>■</x:v>
      </x:c>
      <x:c r="H11" s="42" t="str">
        <x:f>IF(OR($E11="",$F11=""),"",IF(AND(H$5&lt;=$F11,H$5+6&gt;=$E11),"■",""))</x:f>
      </x:c>
      <x:c r="I11" s="42" t="str">
        <x:f>IF(OR($E11="",$F11=""),"",IF(AND(I$5&lt;=$F11,I$5+6&gt;=$E11),"■",""))</x:f>
      </x:c>
      <x:c r="J11" s="42" t="str">
        <x:f>IF(OR($E11="",$F11=""),"",IF(AND(J$5&lt;=$F11,J$5+6&gt;=$E11),"■",""))</x:f>
      </x:c>
      <x:c r="K11" s="42" t="str">
        <x:f>IF(OR($E11="",$F11=""),"",IF(AND(K$5&lt;=$F11,K$5+6&gt;=$E11),"■",""))</x:f>
      </x:c>
      <x:c r="L11" s="42" t="str">
        <x:f>IF(OR($E11="",$F11=""),"",IF(AND(L$5&lt;=$F11,L$5+6&gt;=$E11),"■",""))</x:f>
      </x:c>
      <x:c r="M11" s="42" t="str">
        <x:f>IF(OR($E11="",$F11=""),"",IF(AND(M$5&lt;=$F11,M$5+6&gt;=$E11),"■",""))</x:f>
      </x:c>
      <x:c r="N11" s="42" t="str">
        <x:f>IF(OR($E11="",$F11=""),"",IF(AND(N$5&lt;=$F11,N$5+6&gt;=$E11),"■",""))</x:f>
      </x:c>
      <x:c r="O11" s="42" t="str">
        <x:f>IF(OR($E11="",$F11=""),"",IF(AND(O$5&lt;=$F11,O$5+6&gt;=$E11),"■",""))</x:f>
      </x:c>
      <x:c r="P11" s="42" t="str">
        <x:f>IF(OR($E11="",$F11=""),"",IF(AND(P$5&lt;=$F11,P$5+6&gt;=$E11),"■",""))</x:f>
      </x:c>
      <x:c r="Q11" s="42" t="str">
        <x:f>IF(OR($E11="",$F11=""),"",IF(AND(Q$5&lt;=$F11,Q$5+6&gt;=$E11),"■",""))</x:f>
      </x:c>
      <x:c r="R11" s="42" t="str">
        <x:f>IF(OR($E11="",$F11=""),"",IF(AND(R$5&lt;=$F11,R$5+6&gt;=$E11),"■",""))</x:f>
      </x:c>
      <x:c r="S11" s="42" t="str">
        <x:f>IF(OR($E11="",$F11=""),"",IF(AND(S$5&lt;=$F11,S$5+6&gt;=$E11),"■",""))</x:f>
      </x:c>
      <x:c r="T11" s="42" t="str">
        <x:f>IF(OR($E11="",$F11=""),"",IF(AND(T$5&lt;=$F11,T$5+6&gt;=$E11),"■",""))</x:f>
      </x:c>
      <x:c r="U11" s="42" t="str">
        <x:f>IF(OR($E11="",$F11=""),"",IF(AND(U$5&lt;=$F11,U$5+6&gt;=$E11),"■",""))</x:f>
      </x:c>
      <x:c r="V11" s="42" t="str">
        <x:f>IF(OR($E11="",$F11=""),"",IF(AND(V$5&lt;=$F11,V$5+6&gt;=$E11),"■",""))</x:f>
      </x:c>
      <x:c r="W11" s="42" t="str">
        <x:f>IF(OR($E11="",$F11=""),"",IF(AND(W$5&lt;=$F11,W$5+6&gt;=$E11),"■",""))</x:f>
      </x:c>
      <x:c r="X11" s="42" t="str">
        <x:f>IF(OR($E11="",$F11=""),"",IF(AND(X$5&lt;=$F11,X$5+6&gt;=$E11),"■",""))</x:f>
      </x:c>
      <x:c r="Y11" s="42" t="str">
        <x:f>IF(OR($E11="",$F11=""),"",IF(AND(Y$5&lt;=$F11,Y$5+6&gt;=$E11),"■",""))</x:f>
      </x:c>
      <x:c r="Z11" s="42" t="str">
        <x:f>IF(OR($E11="",$F11=""),"",IF(AND(Z$5&lt;=$F11,Z$5+6&gt;=$E11),"■",""))</x:f>
      </x:c>
      <x:c r="AA11" s="42" t="str">
        <x:f>IF(OR($E11="",$F11=""),"",IF(AND(AA$5&lt;=$F11,AA$5+6&gt;=$E11),"■",""))</x:f>
      </x:c>
      <x:c r="AB11" s="42" t="str">
        <x:f>IF(OR($E11="",$F11=""),"",IF(AND(AB$5&lt;=$F11,AB$5+6&gt;=$E11),"■",""))</x:f>
      </x:c>
      <x:c r="AC11" s="42" t="str">
        <x:f>IF(OR($E11="",$F11=""),"",IF(AND(AC$5&lt;=$F11,AC$5+6&gt;=$E11),"■",""))</x:f>
      </x:c>
      <x:c r="AD11" s="42" t="str">
        <x:f>IF(OR($E11="",$F11=""),"",IF(AND(AD$5&lt;=$F11,AD$5+6&gt;=$E11),"■",""))</x:f>
      </x:c>
      <x:c r="AE11" s="42" t="str">
        <x:f>IF(OR($E11="",$F11=""),"",IF(AND(AE$5&lt;=$F11,AE$5+6&gt;=$E11),"■",""))</x:f>
      </x:c>
      <x:c r="AF11" s="42" t="str">
        <x:f>IF(OR($E11="",$F11=""),"",IF(AND(AF$5&lt;=$F11,AF$5+6&gt;=$E11),"■",""))</x:f>
      </x:c>
      <x:c r="AG11" s="42" t="str">
        <x:f>IF(OR($E11="",$F11=""),"",IF(AND(AG$5&lt;=$F11,AG$5+6&gt;=$E11),"■",""))</x:f>
      </x:c>
      <x:c r="AH11" s="42" t="str">
        <x:f>IF(OR($E11="",$F11=""),"",IF(AND(AH$5&lt;=$F11,AH$5+6&gt;=$E11),"■",""))</x:f>
      </x:c>
      <x:c r="AI11" s="42" t="str">
        <x:f>IF(OR($E11="",$F11=""),"",IF(AND(AI$5&lt;=$F11,AI$5+6&gt;=$E11),"■",""))</x:f>
      </x:c>
      <x:c r="AJ11" s="42" t="str">
        <x:f>IF(OR($E11="",$F11=""),"",IF(AND(AJ$5&lt;=$F11,AJ$5+6&gt;=$E11),"■",""))</x:f>
      </x:c>
      <x:c r="AK11" s="42" t="str">
        <x:f>IF(OR($E11="",$F11=""),"",IF(AND(AK$5&lt;=$F11,AK$5+6&gt;=$E11),"■",""))</x:f>
      </x:c>
    </x:row>
    <x:row r="12" ht="28" customHeight="1">
      <x:c r="A12" s="26" t="str">
        <x:v>ENG-R0-001</x:v>
      </x:c>
      <x:c r="B12" s="26" t="str">
        <x:v>Deploy Synthetic Private Shell</x:v>
      </x:c>
      <x:c r="C12" s="26" t="str">
        <x:v>Next</x:v>
      </x:c>
      <x:c r="D12" s="26" t="str">
        <x:v>R0</x:v>
      </x:c>
      <x:c r="E12" s="31" t="n">
        <x:v>46255</x:v>
      </x:c>
      <x:c r="F12" s="31" t="n">
        <x:v>46260</x:v>
      </x:c>
      <x:c r="G12" s="42" t="str">
        <x:f>IF(OR($E12="",$F12=""),"",IF(AND(G$5&lt;=$F12,G$5+6&gt;=$E12),"■",""))</x:f>
        <x:v>■</x:v>
      </x:c>
      <x:c r="H12" s="42" t="str">
        <x:f>IF(OR($E12="",$F12=""),"",IF(AND(H$5&lt;=$F12,H$5+6&gt;=$E12),"■",""))</x:f>
        <x:v>■</x:v>
      </x:c>
      <x:c r="I12" s="42" t="str">
        <x:f>IF(OR($E12="",$F12=""),"",IF(AND(I$5&lt;=$F12,I$5+6&gt;=$E12),"■",""))</x:f>
      </x:c>
      <x:c r="J12" s="42" t="str">
        <x:f>IF(OR($E12="",$F12=""),"",IF(AND(J$5&lt;=$F12,J$5+6&gt;=$E12),"■",""))</x:f>
      </x:c>
      <x:c r="K12" s="42" t="str">
        <x:f>IF(OR($E12="",$F12=""),"",IF(AND(K$5&lt;=$F12,K$5+6&gt;=$E12),"■",""))</x:f>
      </x:c>
      <x:c r="L12" s="42" t="str">
        <x:f>IF(OR($E12="",$F12=""),"",IF(AND(L$5&lt;=$F12,L$5+6&gt;=$E12),"■",""))</x:f>
      </x:c>
      <x:c r="M12" s="42" t="str">
        <x:f>IF(OR($E12="",$F12=""),"",IF(AND(M$5&lt;=$F12,M$5+6&gt;=$E12),"■",""))</x:f>
      </x:c>
      <x:c r="N12" s="42" t="str">
        <x:f>IF(OR($E12="",$F12=""),"",IF(AND(N$5&lt;=$F12,N$5+6&gt;=$E12),"■",""))</x:f>
      </x:c>
      <x:c r="O12" s="42" t="str">
        <x:f>IF(OR($E12="",$F12=""),"",IF(AND(O$5&lt;=$F12,O$5+6&gt;=$E12),"■",""))</x:f>
      </x:c>
      <x:c r="P12" s="42" t="str">
        <x:f>IF(OR($E12="",$F12=""),"",IF(AND(P$5&lt;=$F12,P$5+6&gt;=$E12),"■",""))</x:f>
      </x:c>
      <x:c r="Q12" s="42" t="str">
        <x:f>IF(OR($E12="",$F12=""),"",IF(AND(Q$5&lt;=$F12,Q$5+6&gt;=$E12),"■",""))</x:f>
      </x:c>
      <x:c r="R12" s="42" t="str">
        <x:f>IF(OR($E12="",$F12=""),"",IF(AND(R$5&lt;=$F12,R$5+6&gt;=$E12),"■",""))</x:f>
      </x:c>
      <x:c r="S12" s="42" t="str">
        <x:f>IF(OR($E12="",$F12=""),"",IF(AND(S$5&lt;=$F12,S$5+6&gt;=$E12),"■",""))</x:f>
      </x:c>
      <x:c r="T12" s="42" t="str">
        <x:f>IF(OR($E12="",$F12=""),"",IF(AND(T$5&lt;=$F12,T$5+6&gt;=$E12),"■",""))</x:f>
      </x:c>
      <x:c r="U12" s="42" t="str">
        <x:f>IF(OR($E12="",$F12=""),"",IF(AND(U$5&lt;=$F12,U$5+6&gt;=$E12),"■",""))</x:f>
      </x:c>
      <x:c r="V12" s="42" t="str">
        <x:f>IF(OR($E12="",$F12=""),"",IF(AND(V$5&lt;=$F12,V$5+6&gt;=$E12),"■",""))</x:f>
      </x:c>
      <x:c r="W12" s="42" t="str">
        <x:f>IF(OR($E12="",$F12=""),"",IF(AND(W$5&lt;=$F12,W$5+6&gt;=$E12),"■",""))</x:f>
      </x:c>
      <x:c r="X12" s="42" t="str">
        <x:f>IF(OR($E12="",$F12=""),"",IF(AND(X$5&lt;=$F12,X$5+6&gt;=$E12),"■",""))</x:f>
      </x:c>
      <x:c r="Y12" s="42" t="str">
        <x:f>IF(OR($E12="",$F12=""),"",IF(AND(Y$5&lt;=$F12,Y$5+6&gt;=$E12),"■",""))</x:f>
      </x:c>
      <x:c r="Z12" s="42" t="str">
        <x:f>IF(OR($E12="",$F12=""),"",IF(AND(Z$5&lt;=$F12,Z$5+6&gt;=$E12),"■",""))</x:f>
      </x:c>
      <x:c r="AA12" s="42" t="str">
        <x:f>IF(OR($E12="",$F12=""),"",IF(AND(AA$5&lt;=$F12,AA$5+6&gt;=$E12),"■",""))</x:f>
      </x:c>
      <x:c r="AB12" s="42" t="str">
        <x:f>IF(OR($E12="",$F12=""),"",IF(AND(AB$5&lt;=$F12,AB$5+6&gt;=$E12),"■",""))</x:f>
      </x:c>
      <x:c r="AC12" s="42" t="str">
        <x:f>IF(OR($E12="",$F12=""),"",IF(AND(AC$5&lt;=$F12,AC$5+6&gt;=$E12),"■",""))</x:f>
      </x:c>
      <x:c r="AD12" s="42" t="str">
        <x:f>IF(OR($E12="",$F12=""),"",IF(AND(AD$5&lt;=$F12,AD$5+6&gt;=$E12),"■",""))</x:f>
      </x:c>
      <x:c r="AE12" s="42" t="str">
        <x:f>IF(OR($E12="",$F12=""),"",IF(AND(AE$5&lt;=$F12,AE$5+6&gt;=$E12),"■",""))</x:f>
      </x:c>
      <x:c r="AF12" s="42" t="str">
        <x:f>IF(OR($E12="",$F12=""),"",IF(AND(AF$5&lt;=$F12,AF$5+6&gt;=$E12),"■",""))</x:f>
      </x:c>
      <x:c r="AG12" s="42" t="str">
        <x:f>IF(OR($E12="",$F12=""),"",IF(AND(AG$5&lt;=$F12,AG$5+6&gt;=$E12),"■",""))</x:f>
      </x:c>
      <x:c r="AH12" s="42" t="str">
        <x:f>IF(OR($E12="",$F12=""),"",IF(AND(AH$5&lt;=$F12,AH$5+6&gt;=$E12),"■",""))</x:f>
      </x:c>
      <x:c r="AI12" s="42" t="str">
        <x:f>IF(OR($E12="",$F12=""),"",IF(AND(AI$5&lt;=$F12,AI$5+6&gt;=$E12),"■",""))</x:f>
      </x:c>
      <x:c r="AJ12" s="42" t="str">
        <x:f>IF(OR($E12="",$F12=""),"",IF(AND(AJ$5&lt;=$F12,AJ$5+6&gt;=$E12),"■",""))</x:f>
      </x:c>
      <x:c r="AK12" s="42" t="str">
        <x:f>IF(OR($E12="",$F12=""),"",IF(AND(AK$5&lt;=$F12,AK$5+6&gt;=$E12),"■",""))</x:f>
      </x:c>
    </x:row>
    <x:row r="13" ht="28" customHeight="1">
      <x:c r="A13" s="26" t="str">
        <x:v>REL-R0-001</x:v>
      </x:c>
      <x:c r="B13" s="26" t="str">
        <x:v>Restore/Rollback/Non-regression Acceptance</x:v>
      </x:c>
      <x:c r="C13" s="26" t="str">
        <x:v>Next</x:v>
      </x:c>
      <x:c r="D13" s="26" t="str">
        <x:v>R0</x:v>
      </x:c>
      <x:c r="E13" s="31" t="n">
        <x:v>46261</x:v>
      </x:c>
      <x:c r="F13" s="31" t="n">
        <x:v>46262</x:v>
      </x:c>
      <x:c r="G13" s="42" t="str">
        <x:f>IF(OR($E13="",$F13=""),"",IF(AND(G$5&lt;=$F13,G$5+6&gt;=$E13),"■",""))</x:f>
      </x:c>
      <x:c r="H13" s="42" t="str">
        <x:f>IF(OR($E13="",$F13=""),"",IF(AND(H$5&lt;=$F13,H$5+6&gt;=$E13),"■",""))</x:f>
        <x:v>■</x:v>
      </x:c>
      <x:c r="I13" s="42" t="str">
        <x:f>IF(OR($E13="",$F13=""),"",IF(AND(I$5&lt;=$F13,I$5+6&gt;=$E13),"■",""))</x:f>
      </x:c>
      <x:c r="J13" s="42" t="str">
        <x:f>IF(OR($E13="",$F13=""),"",IF(AND(J$5&lt;=$F13,J$5+6&gt;=$E13),"■",""))</x:f>
      </x:c>
      <x:c r="K13" s="42" t="str">
        <x:f>IF(OR($E13="",$F13=""),"",IF(AND(K$5&lt;=$F13,K$5+6&gt;=$E13),"■",""))</x:f>
      </x:c>
      <x:c r="L13" s="42" t="str">
        <x:f>IF(OR($E13="",$F13=""),"",IF(AND(L$5&lt;=$F13,L$5+6&gt;=$E13),"■",""))</x:f>
      </x:c>
      <x:c r="M13" s="42" t="str">
        <x:f>IF(OR($E13="",$F13=""),"",IF(AND(M$5&lt;=$F13,M$5+6&gt;=$E13),"■",""))</x:f>
      </x:c>
      <x:c r="N13" s="42" t="str">
        <x:f>IF(OR($E13="",$F13=""),"",IF(AND(N$5&lt;=$F13,N$5+6&gt;=$E13),"■",""))</x:f>
      </x:c>
      <x:c r="O13" s="42" t="str">
        <x:f>IF(OR($E13="",$F13=""),"",IF(AND(O$5&lt;=$F13,O$5+6&gt;=$E13),"■",""))</x:f>
      </x:c>
      <x:c r="P13" s="42" t="str">
        <x:f>IF(OR($E13="",$F13=""),"",IF(AND(P$5&lt;=$F13,P$5+6&gt;=$E13),"■",""))</x:f>
      </x:c>
      <x:c r="Q13" s="42" t="str">
        <x:f>IF(OR($E13="",$F13=""),"",IF(AND(Q$5&lt;=$F13,Q$5+6&gt;=$E13),"■",""))</x:f>
      </x:c>
      <x:c r="R13" s="42" t="str">
        <x:f>IF(OR($E13="",$F13=""),"",IF(AND(R$5&lt;=$F13,R$5+6&gt;=$E13),"■",""))</x:f>
      </x:c>
      <x:c r="S13" s="42" t="str">
        <x:f>IF(OR($E13="",$F13=""),"",IF(AND(S$5&lt;=$F13,S$5+6&gt;=$E13),"■",""))</x:f>
      </x:c>
      <x:c r="T13" s="42" t="str">
        <x:f>IF(OR($E13="",$F13=""),"",IF(AND(T$5&lt;=$F13,T$5+6&gt;=$E13),"■",""))</x:f>
      </x:c>
      <x:c r="U13" s="42" t="str">
        <x:f>IF(OR($E13="",$F13=""),"",IF(AND(U$5&lt;=$F13,U$5+6&gt;=$E13),"■",""))</x:f>
      </x:c>
      <x:c r="V13" s="42" t="str">
        <x:f>IF(OR($E13="",$F13=""),"",IF(AND(V$5&lt;=$F13,V$5+6&gt;=$E13),"■",""))</x:f>
      </x:c>
      <x:c r="W13" s="42" t="str">
        <x:f>IF(OR($E13="",$F13=""),"",IF(AND(W$5&lt;=$F13,W$5+6&gt;=$E13),"■",""))</x:f>
      </x:c>
      <x:c r="X13" s="42" t="str">
        <x:f>IF(OR($E13="",$F13=""),"",IF(AND(X$5&lt;=$F13,X$5+6&gt;=$E13),"■",""))</x:f>
      </x:c>
      <x:c r="Y13" s="42" t="str">
        <x:f>IF(OR($E13="",$F13=""),"",IF(AND(Y$5&lt;=$F13,Y$5+6&gt;=$E13),"■",""))</x:f>
      </x:c>
      <x:c r="Z13" s="42" t="str">
        <x:f>IF(OR($E13="",$F13=""),"",IF(AND(Z$5&lt;=$F13,Z$5+6&gt;=$E13),"■",""))</x:f>
      </x:c>
      <x:c r="AA13" s="42" t="str">
        <x:f>IF(OR($E13="",$F13=""),"",IF(AND(AA$5&lt;=$F13,AA$5+6&gt;=$E13),"■",""))</x:f>
      </x:c>
      <x:c r="AB13" s="42" t="str">
        <x:f>IF(OR($E13="",$F13=""),"",IF(AND(AB$5&lt;=$F13,AB$5+6&gt;=$E13),"■",""))</x:f>
      </x:c>
      <x:c r="AC13" s="42" t="str">
        <x:f>IF(OR($E13="",$F13=""),"",IF(AND(AC$5&lt;=$F13,AC$5+6&gt;=$E13),"■",""))</x:f>
      </x:c>
      <x:c r="AD13" s="42" t="str">
        <x:f>IF(OR($E13="",$F13=""),"",IF(AND(AD$5&lt;=$F13,AD$5+6&gt;=$E13),"■",""))</x:f>
      </x:c>
      <x:c r="AE13" s="42" t="str">
        <x:f>IF(OR($E13="",$F13=""),"",IF(AND(AE$5&lt;=$F13,AE$5+6&gt;=$E13),"■",""))</x:f>
      </x:c>
      <x:c r="AF13" s="42" t="str">
        <x:f>IF(OR($E13="",$F13=""),"",IF(AND(AF$5&lt;=$F13,AF$5+6&gt;=$E13),"■",""))</x:f>
      </x:c>
      <x:c r="AG13" s="42" t="str">
        <x:f>IF(OR($E13="",$F13=""),"",IF(AND(AG$5&lt;=$F13,AG$5+6&gt;=$E13),"■",""))</x:f>
      </x:c>
      <x:c r="AH13" s="42" t="str">
        <x:f>IF(OR($E13="",$F13=""),"",IF(AND(AH$5&lt;=$F13,AH$5+6&gt;=$E13),"■",""))</x:f>
      </x:c>
      <x:c r="AI13" s="42" t="str">
        <x:f>IF(OR($E13="",$F13=""),"",IF(AND(AI$5&lt;=$F13,AI$5+6&gt;=$E13),"■",""))</x:f>
      </x:c>
      <x:c r="AJ13" s="42" t="str">
        <x:f>IF(OR($E13="",$F13=""),"",IF(AND(AJ$5&lt;=$F13,AJ$5+6&gt;=$E13),"■",""))</x:f>
      </x:c>
      <x:c r="AK13" s="42" t="str">
        <x:f>IF(OR($E13="",$F13=""),"",IF(AND(AK$5&lt;=$F13,AK$5+6&gt;=$E13),"■",""))</x:f>
      </x:c>
    </x:row>
    <x:row r="14" ht="28" customHeight="1">
      <x:c r="A14" s="26" t="str">
        <x:v>PRD-R1-001</x:v>
      </x:c>
      <x:c r="B14" s="26" t="str">
        <x:v>Manual Archive PRD</x:v>
      </x:c>
      <x:c r="C14" s="26" t="str">
        <x:v>Done</x:v>
      </x:c>
      <x:c r="D14" s="26" t="str">
        <x:v>R1</x:v>
      </x:c>
      <x:c r="E14" s="31" t="n">
        <x:v>46265</x:v>
      </x:c>
      <x:c r="F14" s="31" t="n">
        <x:v>46267</x:v>
      </x:c>
      <x:c r="G14" s="42" t="str">
        <x:f>IF(OR($E14="",$F14=""),"",IF(AND(G$5&lt;=$F14,G$5+6&gt;=$E14),"■",""))</x:f>
      </x:c>
      <x:c r="H14" s="42" t="str">
        <x:f>IF(OR($E14="",$F14=""),"",IF(AND(H$5&lt;=$F14,H$5+6&gt;=$E14),"■",""))</x:f>
      </x:c>
      <x:c r="I14" s="42" t="str">
        <x:f>IF(OR($E14="",$F14=""),"",IF(AND(I$5&lt;=$F14,I$5+6&gt;=$E14),"■",""))</x:f>
        <x:v>■</x:v>
      </x:c>
      <x:c r="J14" s="42" t="str">
        <x:f>IF(OR($E14="",$F14=""),"",IF(AND(J$5&lt;=$F14,J$5+6&gt;=$E14),"■",""))</x:f>
      </x:c>
      <x:c r="K14" s="42" t="str">
        <x:f>IF(OR($E14="",$F14=""),"",IF(AND(K$5&lt;=$F14,K$5+6&gt;=$E14),"■",""))</x:f>
      </x:c>
      <x:c r="L14" s="42" t="str">
        <x:f>IF(OR($E14="",$F14=""),"",IF(AND(L$5&lt;=$F14,L$5+6&gt;=$E14),"■",""))</x:f>
      </x:c>
      <x:c r="M14" s="42" t="str">
        <x:f>IF(OR($E14="",$F14=""),"",IF(AND(M$5&lt;=$F14,M$5+6&gt;=$E14),"■",""))</x:f>
      </x:c>
      <x:c r="N14" s="42" t="str">
        <x:f>IF(OR($E14="",$F14=""),"",IF(AND(N$5&lt;=$F14,N$5+6&gt;=$E14),"■",""))</x:f>
      </x:c>
      <x:c r="O14" s="42" t="str">
        <x:f>IF(OR($E14="",$F14=""),"",IF(AND(O$5&lt;=$F14,O$5+6&gt;=$E14),"■",""))</x:f>
      </x:c>
      <x:c r="P14" s="42" t="str">
        <x:f>IF(OR($E14="",$F14=""),"",IF(AND(P$5&lt;=$F14,P$5+6&gt;=$E14),"■",""))</x:f>
      </x:c>
      <x:c r="Q14" s="42" t="str">
        <x:f>IF(OR($E14="",$F14=""),"",IF(AND(Q$5&lt;=$F14,Q$5+6&gt;=$E14),"■",""))</x:f>
      </x:c>
      <x:c r="R14" s="42" t="str">
        <x:f>IF(OR($E14="",$F14=""),"",IF(AND(R$5&lt;=$F14,R$5+6&gt;=$E14),"■",""))</x:f>
      </x:c>
      <x:c r="S14" s="42" t="str">
        <x:f>IF(OR($E14="",$F14=""),"",IF(AND(S$5&lt;=$F14,S$5+6&gt;=$E14),"■",""))</x:f>
      </x:c>
      <x:c r="T14" s="42" t="str">
        <x:f>IF(OR($E14="",$F14=""),"",IF(AND(T$5&lt;=$F14,T$5+6&gt;=$E14),"■",""))</x:f>
      </x:c>
      <x:c r="U14" s="42" t="str">
        <x:f>IF(OR($E14="",$F14=""),"",IF(AND(U$5&lt;=$F14,U$5+6&gt;=$E14),"■",""))</x:f>
      </x:c>
      <x:c r="V14" s="42" t="str">
        <x:f>IF(OR($E14="",$F14=""),"",IF(AND(V$5&lt;=$F14,V$5+6&gt;=$E14),"■",""))</x:f>
      </x:c>
      <x:c r="W14" s="42" t="str">
        <x:f>IF(OR($E14="",$F14=""),"",IF(AND(W$5&lt;=$F14,W$5+6&gt;=$E14),"■",""))</x:f>
      </x:c>
      <x:c r="X14" s="42" t="str">
        <x:f>IF(OR($E14="",$F14=""),"",IF(AND(X$5&lt;=$F14,X$5+6&gt;=$E14),"■",""))</x:f>
      </x:c>
      <x:c r="Y14" s="42" t="str">
        <x:f>IF(OR($E14="",$F14=""),"",IF(AND(Y$5&lt;=$F14,Y$5+6&gt;=$E14),"■",""))</x:f>
      </x:c>
      <x:c r="Z14" s="42" t="str">
        <x:f>IF(OR($E14="",$F14=""),"",IF(AND(Z$5&lt;=$F14,Z$5+6&gt;=$E14),"■",""))</x:f>
      </x:c>
      <x:c r="AA14" s="42" t="str">
        <x:f>IF(OR($E14="",$F14=""),"",IF(AND(AA$5&lt;=$F14,AA$5+6&gt;=$E14),"■",""))</x:f>
      </x:c>
      <x:c r="AB14" s="42" t="str">
        <x:f>IF(OR($E14="",$F14=""),"",IF(AND(AB$5&lt;=$F14,AB$5+6&gt;=$E14),"■",""))</x:f>
      </x:c>
      <x:c r="AC14" s="42" t="str">
        <x:f>IF(OR($E14="",$F14=""),"",IF(AND(AC$5&lt;=$F14,AC$5+6&gt;=$E14),"■",""))</x:f>
      </x:c>
      <x:c r="AD14" s="42" t="str">
        <x:f>IF(OR($E14="",$F14=""),"",IF(AND(AD$5&lt;=$F14,AD$5+6&gt;=$E14),"■",""))</x:f>
      </x:c>
      <x:c r="AE14" s="42" t="str">
        <x:f>IF(OR($E14="",$F14=""),"",IF(AND(AE$5&lt;=$F14,AE$5+6&gt;=$E14),"■",""))</x:f>
      </x:c>
      <x:c r="AF14" s="42" t="str">
        <x:f>IF(OR($E14="",$F14=""),"",IF(AND(AF$5&lt;=$F14,AF$5+6&gt;=$E14),"■",""))</x:f>
      </x:c>
      <x:c r="AG14" s="42" t="str">
        <x:f>IF(OR($E14="",$F14=""),"",IF(AND(AG$5&lt;=$F14,AG$5+6&gt;=$E14),"■",""))</x:f>
      </x:c>
      <x:c r="AH14" s="42" t="str">
        <x:f>IF(OR($E14="",$F14=""),"",IF(AND(AH$5&lt;=$F14,AH$5+6&gt;=$E14),"■",""))</x:f>
      </x:c>
      <x:c r="AI14" s="42" t="str">
        <x:f>IF(OR($E14="",$F14=""),"",IF(AND(AI$5&lt;=$F14,AI$5+6&gt;=$E14),"■",""))</x:f>
      </x:c>
      <x:c r="AJ14" s="42" t="str">
        <x:f>IF(OR($E14="",$F14=""),"",IF(AND(AJ$5&lt;=$F14,AJ$5+6&gt;=$E14),"■",""))</x:f>
      </x:c>
      <x:c r="AK14" s="42" t="str">
        <x:f>IF(OR($E14="",$F14=""),"",IF(AND(AK$5&lt;=$F14,AK$5+6&gt;=$E14),"■",""))</x:f>
      </x:c>
    </x:row>
    <x:row r="15" ht="28" customHeight="1">
      <x:c r="A15" s="26" t="str">
        <x:v>UX-R1-001</x:v>
      </x:c>
      <x:c r="B15" s="26" t="str">
        <x:v>Calendar/Day/Upload Designs</x:v>
      </x:c>
      <x:c r="C15" s="26" t="str">
        <x:v>Backlog</x:v>
      </x:c>
      <x:c r="D15" s="26" t="str">
        <x:v>R1</x:v>
      </x:c>
      <x:c r="E15" s="31" t="n">
        <x:v>46265</x:v>
      </x:c>
      <x:c r="F15" s="31" t="n">
        <x:v>46269</x:v>
      </x:c>
      <x:c r="G15" s="42" t="str">
        <x:f>IF(OR($E15="",$F15=""),"",IF(AND(G$5&lt;=$F15,G$5+6&gt;=$E15),"■",""))</x:f>
      </x:c>
      <x:c r="H15" s="42" t="str">
        <x:f>IF(OR($E15="",$F15=""),"",IF(AND(H$5&lt;=$F15,H$5+6&gt;=$E15),"■",""))</x:f>
      </x:c>
      <x:c r="I15" s="42" t="str">
        <x:f>IF(OR($E15="",$F15=""),"",IF(AND(I$5&lt;=$F15,I$5+6&gt;=$E15),"■",""))</x:f>
        <x:v>■</x:v>
      </x:c>
      <x:c r="J15" s="42" t="str">
        <x:f>IF(OR($E15="",$F15=""),"",IF(AND(J$5&lt;=$F15,J$5+6&gt;=$E15),"■",""))</x:f>
      </x:c>
      <x:c r="K15" s="42" t="str">
        <x:f>IF(OR($E15="",$F15=""),"",IF(AND(K$5&lt;=$F15,K$5+6&gt;=$E15),"■",""))</x:f>
      </x:c>
      <x:c r="L15" s="42" t="str">
        <x:f>IF(OR($E15="",$F15=""),"",IF(AND(L$5&lt;=$F15,L$5+6&gt;=$E15),"■",""))</x:f>
      </x:c>
      <x:c r="M15" s="42" t="str">
        <x:f>IF(OR($E15="",$F15=""),"",IF(AND(M$5&lt;=$F15,M$5+6&gt;=$E15),"■",""))</x:f>
      </x:c>
      <x:c r="N15" s="42" t="str">
        <x:f>IF(OR($E15="",$F15=""),"",IF(AND(N$5&lt;=$F15,N$5+6&gt;=$E15),"■",""))</x:f>
      </x:c>
      <x:c r="O15" s="42" t="str">
        <x:f>IF(OR($E15="",$F15=""),"",IF(AND(O$5&lt;=$F15,O$5+6&gt;=$E15),"■",""))</x:f>
      </x:c>
      <x:c r="P15" s="42" t="str">
        <x:f>IF(OR($E15="",$F15=""),"",IF(AND(P$5&lt;=$F15,P$5+6&gt;=$E15),"■",""))</x:f>
      </x:c>
      <x:c r="Q15" s="42" t="str">
        <x:f>IF(OR($E15="",$F15=""),"",IF(AND(Q$5&lt;=$F15,Q$5+6&gt;=$E15),"■",""))</x:f>
      </x:c>
      <x:c r="R15" s="42" t="str">
        <x:f>IF(OR($E15="",$F15=""),"",IF(AND(R$5&lt;=$F15,R$5+6&gt;=$E15),"■",""))</x:f>
      </x:c>
      <x:c r="S15" s="42" t="str">
        <x:f>IF(OR($E15="",$F15=""),"",IF(AND(S$5&lt;=$F15,S$5+6&gt;=$E15),"■",""))</x:f>
      </x:c>
      <x:c r="T15" s="42" t="str">
        <x:f>IF(OR($E15="",$F15=""),"",IF(AND(T$5&lt;=$F15,T$5+6&gt;=$E15),"■",""))</x:f>
      </x:c>
      <x:c r="U15" s="42" t="str">
        <x:f>IF(OR($E15="",$F15=""),"",IF(AND(U$5&lt;=$F15,U$5+6&gt;=$E15),"■",""))</x:f>
      </x:c>
      <x:c r="V15" s="42" t="str">
        <x:f>IF(OR($E15="",$F15=""),"",IF(AND(V$5&lt;=$F15,V$5+6&gt;=$E15),"■",""))</x:f>
      </x:c>
      <x:c r="W15" s="42" t="str">
        <x:f>IF(OR($E15="",$F15=""),"",IF(AND(W$5&lt;=$F15,W$5+6&gt;=$E15),"■",""))</x:f>
      </x:c>
      <x:c r="X15" s="42" t="str">
        <x:f>IF(OR($E15="",$F15=""),"",IF(AND(X$5&lt;=$F15,X$5+6&gt;=$E15),"■",""))</x:f>
      </x:c>
      <x:c r="Y15" s="42" t="str">
        <x:f>IF(OR($E15="",$F15=""),"",IF(AND(Y$5&lt;=$F15,Y$5+6&gt;=$E15),"■",""))</x:f>
      </x:c>
      <x:c r="Z15" s="42" t="str">
        <x:f>IF(OR($E15="",$F15=""),"",IF(AND(Z$5&lt;=$F15,Z$5+6&gt;=$E15),"■",""))</x:f>
      </x:c>
      <x:c r="AA15" s="42" t="str">
        <x:f>IF(OR($E15="",$F15=""),"",IF(AND(AA$5&lt;=$F15,AA$5+6&gt;=$E15),"■",""))</x:f>
      </x:c>
      <x:c r="AB15" s="42" t="str">
        <x:f>IF(OR($E15="",$F15=""),"",IF(AND(AB$5&lt;=$F15,AB$5+6&gt;=$E15),"■",""))</x:f>
      </x:c>
      <x:c r="AC15" s="42" t="str">
        <x:f>IF(OR($E15="",$F15=""),"",IF(AND(AC$5&lt;=$F15,AC$5+6&gt;=$E15),"■",""))</x:f>
      </x:c>
      <x:c r="AD15" s="42" t="str">
        <x:f>IF(OR($E15="",$F15=""),"",IF(AND(AD$5&lt;=$F15,AD$5+6&gt;=$E15),"■",""))</x:f>
      </x:c>
      <x:c r="AE15" s="42" t="str">
        <x:f>IF(OR($E15="",$F15=""),"",IF(AND(AE$5&lt;=$F15,AE$5+6&gt;=$E15),"■",""))</x:f>
      </x:c>
      <x:c r="AF15" s="42" t="str">
        <x:f>IF(OR($E15="",$F15=""),"",IF(AND(AF$5&lt;=$F15,AF$5+6&gt;=$E15),"■",""))</x:f>
      </x:c>
      <x:c r="AG15" s="42" t="str">
        <x:f>IF(OR($E15="",$F15=""),"",IF(AND(AG$5&lt;=$F15,AG$5+6&gt;=$E15),"■",""))</x:f>
      </x:c>
      <x:c r="AH15" s="42" t="str">
        <x:f>IF(OR($E15="",$F15=""),"",IF(AND(AH$5&lt;=$F15,AH$5+6&gt;=$E15),"■",""))</x:f>
      </x:c>
      <x:c r="AI15" s="42" t="str">
        <x:f>IF(OR($E15="",$F15=""),"",IF(AND(AI$5&lt;=$F15,AI$5+6&gt;=$E15),"■",""))</x:f>
      </x:c>
      <x:c r="AJ15" s="42" t="str">
        <x:f>IF(OR($E15="",$F15=""),"",IF(AND(AJ$5&lt;=$F15,AJ$5+6&gt;=$E15),"■",""))</x:f>
      </x:c>
      <x:c r="AK15" s="42" t="str">
        <x:f>IF(OR($E15="",$F15=""),"",IF(AND(AK$5&lt;=$F15,AK$5+6&gt;=$E15),"■",""))</x:f>
      </x:c>
    </x:row>
    <x:row r="16" ht="28" customHeight="1">
      <x:c r="A16" s="26" t="str">
        <x:v>ARCH-R1-001</x:v>
      </x:c>
      <x:c r="B16" s="26" t="str">
        <x:v>Journal/Source/Encryption Schema</x:v>
      </x:c>
      <x:c r="C16" s="26" t="str">
        <x:v>Backlog</x:v>
      </x:c>
      <x:c r="D16" s="26" t="str">
        <x:v>R1</x:v>
      </x:c>
      <x:c r="E16" s="31" t="n">
        <x:v>46265</x:v>
      </x:c>
      <x:c r="F16" s="31" t="n">
        <x:v>46269</x:v>
      </x:c>
      <x:c r="G16" s="42" t="str">
        <x:f>IF(OR($E16="",$F16=""),"",IF(AND(G$5&lt;=$F16,G$5+6&gt;=$E16),"■",""))</x:f>
      </x:c>
      <x:c r="H16" s="42" t="str">
        <x:f>IF(OR($E16="",$F16=""),"",IF(AND(H$5&lt;=$F16,H$5+6&gt;=$E16),"■",""))</x:f>
      </x:c>
      <x:c r="I16" s="42" t="str">
        <x:f>IF(OR($E16="",$F16=""),"",IF(AND(I$5&lt;=$F16,I$5+6&gt;=$E16),"■",""))</x:f>
        <x:v>■</x:v>
      </x:c>
      <x:c r="J16" s="42" t="str">
        <x:f>IF(OR($E16="",$F16=""),"",IF(AND(J$5&lt;=$F16,J$5+6&gt;=$E16),"■",""))</x:f>
      </x:c>
      <x:c r="K16" s="42" t="str">
        <x:f>IF(OR($E16="",$F16=""),"",IF(AND(K$5&lt;=$F16,K$5+6&gt;=$E16),"■",""))</x:f>
      </x:c>
      <x:c r="L16" s="42" t="str">
        <x:f>IF(OR($E16="",$F16=""),"",IF(AND(L$5&lt;=$F16,L$5+6&gt;=$E16),"■",""))</x:f>
      </x:c>
      <x:c r="M16" s="42" t="str">
        <x:f>IF(OR($E16="",$F16=""),"",IF(AND(M$5&lt;=$F16,M$5+6&gt;=$E16),"■",""))</x:f>
      </x:c>
      <x:c r="N16" s="42" t="str">
        <x:f>IF(OR($E16="",$F16=""),"",IF(AND(N$5&lt;=$F16,N$5+6&gt;=$E16),"■",""))</x:f>
      </x:c>
      <x:c r="O16" s="42" t="str">
        <x:f>IF(OR($E16="",$F16=""),"",IF(AND(O$5&lt;=$F16,O$5+6&gt;=$E16),"■",""))</x:f>
      </x:c>
      <x:c r="P16" s="42" t="str">
        <x:f>IF(OR($E16="",$F16=""),"",IF(AND(P$5&lt;=$F16,P$5+6&gt;=$E16),"■",""))</x:f>
      </x:c>
      <x:c r="Q16" s="42" t="str">
        <x:f>IF(OR($E16="",$F16=""),"",IF(AND(Q$5&lt;=$F16,Q$5+6&gt;=$E16),"■",""))</x:f>
      </x:c>
      <x:c r="R16" s="42" t="str">
        <x:f>IF(OR($E16="",$F16=""),"",IF(AND(R$5&lt;=$F16,R$5+6&gt;=$E16),"■",""))</x:f>
      </x:c>
      <x:c r="S16" s="42" t="str">
        <x:f>IF(OR($E16="",$F16=""),"",IF(AND(S$5&lt;=$F16,S$5+6&gt;=$E16),"■",""))</x:f>
      </x:c>
      <x:c r="T16" s="42" t="str">
        <x:f>IF(OR($E16="",$F16=""),"",IF(AND(T$5&lt;=$F16,T$5+6&gt;=$E16),"■",""))</x:f>
      </x:c>
      <x:c r="U16" s="42" t="str">
        <x:f>IF(OR($E16="",$F16=""),"",IF(AND(U$5&lt;=$F16,U$5+6&gt;=$E16),"■",""))</x:f>
      </x:c>
      <x:c r="V16" s="42" t="str">
        <x:f>IF(OR($E16="",$F16=""),"",IF(AND(V$5&lt;=$F16,V$5+6&gt;=$E16),"■",""))</x:f>
      </x:c>
      <x:c r="W16" s="42" t="str">
        <x:f>IF(OR($E16="",$F16=""),"",IF(AND(W$5&lt;=$F16,W$5+6&gt;=$E16),"■",""))</x:f>
      </x:c>
      <x:c r="X16" s="42" t="str">
        <x:f>IF(OR($E16="",$F16=""),"",IF(AND(X$5&lt;=$F16,X$5+6&gt;=$E16),"■",""))</x:f>
      </x:c>
      <x:c r="Y16" s="42" t="str">
        <x:f>IF(OR($E16="",$F16=""),"",IF(AND(Y$5&lt;=$F16,Y$5+6&gt;=$E16),"■",""))</x:f>
      </x:c>
      <x:c r="Z16" s="42" t="str">
        <x:f>IF(OR($E16="",$F16=""),"",IF(AND(Z$5&lt;=$F16,Z$5+6&gt;=$E16),"■",""))</x:f>
      </x:c>
      <x:c r="AA16" s="42" t="str">
        <x:f>IF(OR($E16="",$F16=""),"",IF(AND(AA$5&lt;=$F16,AA$5+6&gt;=$E16),"■",""))</x:f>
      </x:c>
      <x:c r="AB16" s="42" t="str">
        <x:f>IF(OR($E16="",$F16=""),"",IF(AND(AB$5&lt;=$F16,AB$5+6&gt;=$E16),"■",""))</x:f>
      </x:c>
      <x:c r="AC16" s="42" t="str">
        <x:f>IF(OR($E16="",$F16=""),"",IF(AND(AC$5&lt;=$F16,AC$5+6&gt;=$E16),"■",""))</x:f>
      </x:c>
      <x:c r="AD16" s="42" t="str">
        <x:f>IF(OR($E16="",$F16=""),"",IF(AND(AD$5&lt;=$F16,AD$5+6&gt;=$E16),"■",""))</x:f>
      </x:c>
      <x:c r="AE16" s="42" t="str">
        <x:f>IF(OR($E16="",$F16=""),"",IF(AND(AE$5&lt;=$F16,AE$5+6&gt;=$E16),"■",""))</x:f>
      </x:c>
      <x:c r="AF16" s="42" t="str">
        <x:f>IF(OR($E16="",$F16=""),"",IF(AND(AF$5&lt;=$F16,AF$5+6&gt;=$E16),"■",""))</x:f>
      </x:c>
      <x:c r="AG16" s="42" t="str">
        <x:f>IF(OR($E16="",$F16=""),"",IF(AND(AG$5&lt;=$F16,AG$5+6&gt;=$E16),"■",""))</x:f>
      </x:c>
      <x:c r="AH16" s="42" t="str">
        <x:f>IF(OR($E16="",$F16=""),"",IF(AND(AH$5&lt;=$F16,AH$5+6&gt;=$E16),"■",""))</x:f>
      </x:c>
      <x:c r="AI16" s="42" t="str">
        <x:f>IF(OR($E16="",$F16=""),"",IF(AND(AI$5&lt;=$F16,AI$5+6&gt;=$E16),"■",""))</x:f>
      </x:c>
      <x:c r="AJ16" s="42" t="str">
        <x:f>IF(OR($E16="",$F16=""),"",IF(AND(AJ$5&lt;=$F16,AJ$5+6&gt;=$E16),"■",""))</x:f>
      </x:c>
      <x:c r="AK16" s="42" t="str">
        <x:f>IF(OR($E16="",$F16=""),"",IF(AND(AK$5&lt;=$F16,AK$5+6&gt;=$E16),"■",""))</x:f>
      </x:c>
    </x:row>
    <x:row r="17" ht="28" customHeight="1">
      <x:c r="A17" s="26" t="str">
        <x:v>ENG-R1-001</x:v>
      </x:c>
      <x:c r="B17" s="26" t="str">
        <x:v>Manual Upload &amp; Reflection Core</x:v>
      </x:c>
      <x:c r="C17" s="26" t="str">
        <x:v>Backlog</x:v>
      </x:c>
      <x:c r="D17" s="26" t="str">
        <x:v>R1</x:v>
      </x:c>
      <x:c r="E17" s="31" t="n">
        <x:v>46268</x:v>
      </x:c>
      <x:c r="F17" s="31" t="n">
        <x:v>46280</x:v>
      </x:c>
      <x:c r="G17" s="42" t="str">
        <x:f>IF(OR($E17="",$F17=""),"",IF(AND(G$5&lt;=$F17,G$5+6&gt;=$E17),"■",""))</x:f>
      </x:c>
      <x:c r="H17" s="42" t="str">
        <x:f>IF(OR($E17="",$F17=""),"",IF(AND(H$5&lt;=$F17,H$5+6&gt;=$E17),"■",""))</x:f>
      </x:c>
      <x:c r="I17" s="42" t="str">
        <x:f>IF(OR($E17="",$F17=""),"",IF(AND(I$5&lt;=$F17,I$5+6&gt;=$E17),"■",""))</x:f>
        <x:v>■</x:v>
      </x:c>
      <x:c r="J17" s="42" t="str">
        <x:f>IF(OR($E17="",$F17=""),"",IF(AND(J$5&lt;=$F17,J$5+6&gt;=$E17),"■",""))</x:f>
        <x:v>■</x:v>
      </x:c>
      <x:c r="K17" s="42" t="str">
        <x:f>IF(OR($E17="",$F17=""),"",IF(AND(K$5&lt;=$F17,K$5+6&gt;=$E17),"■",""))</x:f>
        <x:v>■</x:v>
      </x:c>
      <x:c r="L17" s="42" t="str">
        <x:f>IF(OR($E17="",$F17=""),"",IF(AND(L$5&lt;=$F17,L$5+6&gt;=$E17),"■",""))</x:f>
      </x:c>
      <x:c r="M17" s="42" t="str">
        <x:f>IF(OR($E17="",$F17=""),"",IF(AND(M$5&lt;=$F17,M$5+6&gt;=$E17),"■",""))</x:f>
      </x:c>
      <x:c r="N17" s="42" t="str">
        <x:f>IF(OR($E17="",$F17=""),"",IF(AND(N$5&lt;=$F17,N$5+6&gt;=$E17),"■",""))</x:f>
      </x:c>
      <x:c r="O17" s="42" t="str">
        <x:f>IF(OR($E17="",$F17=""),"",IF(AND(O$5&lt;=$F17,O$5+6&gt;=$E17),"■",""))</x:f>
      </x:c>
      <x:c r="P17" s="42" t="str">
        <x:f>IF(OR($E17="",$F17=""),"",IF(AND(P$5&lt;=$F17,P$5+6&gt;=$E17),"■",""))</x:f>
      </x:c>
      <x:c r="Q17" s="42" t="str">
        <x:f>IF(OR($E17="",$F17=""),"",IF(AND(Q$5&lt;=$F17,Q$5+6&gt;=$E17),"■",""))</x:f>
      </x:c>
      <x:c r="R17" s="42" t="str">
        <x:f>IF(OR($E17="",$F17=""),"",IF(AND(R$5&lt;=$F17,R$5+6&gt;=$E17),"■",""))</x:f>
      </x:c>
      <x:c r="S17" s="42" t="str">
        <x:f>IF(OR($E17="",$F17=""),"",IF(AND(S$5&lt;=$F17,S$5+6&gt;=$E17),"■",""))</x:f>
      </x:c>
      <x:c r="T17" s="42" t="str">
        <x:f>IF(OR($E17="",$F17=""),"",IF(AND(T$5&lt;=$F17,T$5+6&gt;=$E17),"■",""))</x:f>
      </x:c>
      <x:c r="U17" s="42" t="str">
        <x:f>IF(OR($E17="",$F17=""),"",IF(AND(U$5&lt;=$F17,U$5+6&gt;=$E17),"■",""))</x:f>
      </x:c>
      <x:c r="V17" s="42" t="str">
        <x:f>IF(OR($E17="",$F17=""),"",IF(AND(V$5&lt;=$F17,V$5+6&gt;=$E17),"■",""))</x:f>
      </x:c>
      <x:c r="W17" s="42" t="str">
        <x:f>IF(OR($E17="",$F17=""),"",IF(AND(W$5&lt;=$F17,W$5+6&gt;=$E17),"■",""))</x:f>
      </x:c>
      <x:c r="X17" s="42" t="str">
        <x:f>IF(OR($E17="",$F17=""),"",IF(AND(X$5&lt;=$F17,X$5+6&gt;=$E17),"■",""))</x:f>
      </x:c>
      <x:c r="Y17" s="42" t="str">
        <x:f>IF(OR($E17="",$F17=""),"",IF(AND(Y$5&lt;=$F17,Y$5+6&gt;=$E17),"■",""))</x:f>
      </x:c>
      <x:c r="Z17" s="42" t="str">
        <x:f>IF(OR($E17="",$F17=""),"",IF(AND(Z$5&lt;=$F17,Z$5+6&gt;=$E17),"■",""))</x:f>
      </x:c>
      <x:c r="AA17" s="42" t="str">
        <x:f>IF(OR($E17="",$F17=""),"",IF(AND(AA$5&lt;=$F17,AA$5+6&gt;=$E17),"■",""))</x:f>
      </x:c>
      <x:c r="AB17" s="42" t="str">
        <x:f>IF(OR($E17="",$F17=""),"",IF(AND(AB$5&lt;=$F17,AB$5+6&gt;=$E17),"■",""))</x:f>
      </x:c>
      <x:c r="AC17" s="42" t="str">
        <x:f>IF(OR($E17="",$F17=""),"",IF(AND(AC$5&lt;=$F17,AC$5+6&gt;=$E17),"■",""))</x:f>
      </x:c>
      <x:c r="AD17" s="42" t="str">
        <x:f>IF(OR($E17="",$F17=""),"",IF(AND(AD$5&lt;=$F17,AD$5+6&gt;=$E17),"■",""))</x:f>
      </x:c>
      <x:c r="AE17" s="42" t="str">
        <x:f>IF(OR($E17="",$F17=""),"",IF(AND(AE$5&lt;=$F17,AE$5+6&gt;=$E17),"■",""))</x:f>
      </x:c>
      <x:c r="AF17" s="42" t="str">
        <x:f>IF(OR($E17="",$F17=""),"",IF(AND(AF$5&lt;=$F17,AF$5+6&gt;=$E17),"■",""))</x:f>
      </x:c>
      <x:c r="AG17" s="42" t="str">
        <x:f>IF(OR($E17="",$F17=""),"",IF(AND(AG$5&lt;=$F17,AG$5+6&gt;=$E17),"■",""))</x:f>
      </x:c>
      <x:c r="AH17" s="42" t="str">
        <x:f>IF(OR($E17="",$F17=""),"",IF(AND(AH$5&lt;=$F17,AH$5+6&gt;=$E17),"■",""))</x:f>
      </x:c>
      <x:c r="AI17" s="42" t="str">
        <x:f>IF(OR($E17="",$F17=""),"",IF(AND(AI$5&lt;=$F17,AI$5+6&gt;=$E17),"■",""))</x:f>
      </x:c>
      <x:c r="AJ17" s="42" t="str">
        <x:f>IF(OR($E17="",$F17=""),"",IF(AND(AJ$5&lt;=$F17,AJ$5+6&gt;=$E17),"■",""))</x:f>
      </x:c>
      <x:c r="AK17" s="42" t="str">
        <x:f>IF(OR($E17="",$F17=""),"",IF(AND(AK$5&lt;=$F17,AK$5+6&gt;=$E17),"■",""))</x:f>
      </x:c>
    </x:row>
    <x:row r="18" ht="28" customHeight="1">
      <x:c r="A18" s="26" t="str">
        <x:v>REL-R1-001</x:v>
      </x:c>
      <x:c r="B18" s="26" t="str">
        <x:v>First-memory Restore/Rollback Acceptance</x:v>
      </x:c>
      <x:c r="C18" s="26" t="str">
        <x:v>Backlog</x:v>
      </x:c>
      <x:c r="D18" s="26" t="str">
        <x:v>R1</x:v>
      </x:c>
      <x:c r="E18" s="31" t="n">
        <x:v>46281</x:v>
      </x:c>
      <x:c r="F18" s="31" t="n">
        <x:v>46283</x:v>
      </x:c>
      <x:c r="G18" s="42" t="str">
        <x:f>IF(OR($E18="",$F18=""),"",IF(AND(G$5&lt;=$F18,G$5+6&gt;=$E18),"■",""))</x:f>
      </x:c>
      <x:c r="H18" s="42" t="str">
        <x:f>IF(OR($E18="",$F18=""),"",IF(AND(H$5&lt;=$F18,H$5+6&gt;=$E18),"■",""))</x:f>
      </x:c>
      <x:c r="I18" s="42" t="str">
        <x:f>IF(OR($E18="",$F18=""),"",IF(AND(I$5&lt;=$F18,I$5+6&gt;=$E18),"■",""))</x:f>
      </x:c>
      <x:c r="J18" s="42" t="str">
        <x:f>IF(OR($E18="",$F18=""),"",IF(AND(J$5&lt;=$F18,J$5+6&gt;=$E18),"■",""))</x:f>
      </x:c>
      <x:c r="K18" s="42" t="str">
        <x:f>IF(OR($E18="",$F18=""),"",IF(AND(K$5&lt;=$F18,K$5+6&gt;=$E18),"■",""))</x:f>
        <x:v>■</x:v>
      </x:c>
      <x:c r="L18" s="42" t="str">
        <x:f>IF(OR($E18="",$F18=""),"",IF(AND(L$5&lt;=$F18,L$5+6&gt;=$E18),"■",""))</x:f>
      </x:c>
      <x:c r="M18" s="42" t="str">
        <x:f>IF(OR($E18="",$F18=""),"",IF(AND(M$5&lt;=$F18,M$5+6&gt;=$E18),"■",""))</x:f>
      </x:c>
      <x:c r="N18" s="42" t="str">
        <x:f>IF(OR($E18="",$F18=""),"",IF(AND(N$5&lt;=$F18,N$5+6&gt;=$E18),"■",""))</x:f>
      </x:c>
      <x:c r="O18" s="42" t="str">
        <x:f>IF(OR($E18="",$F18=""),"",IF(AND(O$5&lt;=$F18,O$5+6&gt;=$E18),"■",""))</x:f>
      </x:c>
      <x:c r="P18" s="42" t="str">
        <x:f>IF(OR($E18="",$F18=""),"",IF(AND(P$5&lt;=$F18,P$5+6&gt;=$E18),"■",""))</x:f>
      </x:c>
      <x:c r="Q18" s="42" t="str">
        <x:f>IF(OR($E18="",$F18=""),"",IF(AND(Q$5&lt;=$F18,Q$5+6&gt;=$E18),"■",""))</x:f>
      </x:c>
      <x:c r="R18" s="42" t="str">
        <x:f>IF(OR($E18="",$F18=""),"",IF(AND(R$5&lt;=$F18,R$5+6&gt;=$E18),"■",""))</x:f>
      </x:c>
      <x:c r="S18" s="42" t="str">
        <x:f>IF(OR($E18="",$F18=""),"",IF(AND(S$5&lt;=$F18,S$5+6&gt;=$E18),"■",""))</x:f>
      </x:c>
      <x:c r="T18" s="42" t="str">
        <x:f>IF(OR($E18="",$F18=""),"",IF(AND(T$5&lt;=$F18,T$5+6&gt;=$E18),"■",""))</x:f>
      </x:c>
      <x:c r="U18" s="42" t="str">
        <x:f>IF(OR($E18="",$F18=""),"",IF(AND(U$5&lt;=$F18,U$5+6&gt;=$E18),"■",""))</x:f>
      </x:c>
      <x:c r="V18" s="42" t="str">
        <x:f>IF(OR($E18="",$F18=""),"",IF(AND(V$5&lt;=$F18,V$5+6&gt;=$E18),"■",""))</x:f>
      </x:c>
      <x:c r="W18" s="42" t="str">
        <x:f>IF(OR($E18="",$F18=""),"",IF(AND(W$5&lt;=$F18,W$5+6&gt;=$E18),"■",""))</x:f>
      </x:c>
      <x:c r="X18" s="42" t="str">
        <x:f>IF(OR($E18="",$F18=""),"",IF(AND(X$5&lt;=$F18,X$5+6&gt;=$E18),"■",""))</x:f>
      </x:c>
      <x:c r="Y18" s="42" t="str">
        <x:f>IF(OR($E18="",$F18=""),"",IF(AND(Y$5&lt;=$F18,Y$5+6&gt;=$E18),"■",""))</x:f>
      </x:c>
      <x:c r="Z18" s="42" t="str">
        <x:f>IF(OR($E18="",$F18=""),"",IF(AND(Z$5&lt;=$F18,Z$5+6&gt;=$E18),"■",""))</x:f>
      </x:c>
      <x:c r="AA18" s="42" t="str">
        <x:f>IF(OR($E18="",$F18=""),"",IF(AND(AA$5&lt;=$F18,AA$5+6&gt;=$E18),"■",""))</x:f>
      </x:c>
      <x:c r="AB18" s="42" t="str">
        <x:f>IF(OR($E18="",$F18=""),"",IF(AND(AB$5&lt;=$F18,AB$5+6&gt;=$E18),"■",""))</x:f>
      </x:c>
      <x:c r="AC18" s="42" t="str">
        <x:f>IF(OR($E18="",$F18=""),"",IF(AND(AC$5&lt;=$F18,AC$5+6&gt;=$E18),"■",""))</x:f>
      </x:c>
      <x:c r="AD18" s="42" t="str">
        <x:f>IF(OR($E18="",$F18=""),"",IF(AND(AD$5&lt;=$F18,AD$5+6&gt;=$E18),"■",""))</x:f>
      </x:c>
      <x:c r="AE18" s="42" t="str">
        <x:f>IF(OR($E18="",$F18=""),"",IF(AND(AE$5&lt;=$F18,AE$5+6&gt;=$E18),"■",""))</x:f>
      </x:c>
      <x:c r="AF18" s="42" t="str">
        <x:f>IF(OR($E18="",$F18=""),"",IF(AND(AF$5&lt;=$F18,AF$5+6&gt;=$E18),"■",""))</x:f>
      </x:c>
      <x:c r="AG18" s="42" t="str">
        <x:f>IF(OR($E18="",$F18=""),"",IF(AND(AG$5&lt;=$F18,AG$5+6&gt;=$E18),"■",""))</x:f>
      </x:c>
      <x:c r="AH18" s="42" t="str">
        <x:f>IF(OR($E18="",$F18=""),"",IF(AND(AH$5&lt;=$F18,AH$5+6&gt;=$E18),"■",""))</x:f>
      </x:c>
      <x:c r="AI18" s="42" t="str">
        <x:f>IF(OR($E18="",$F18=""),"",IF(AND(AI$5&lt;=$F18,AI$5+6&gt;=$E18),"■",""))</x:f>
      </x:c>
      <x:c r="AJ18" s="42" t="str">
        <x:f>IF(OR($E18="",$F18=""),"",IF(AND(AJ$5&lt;=$F18,AJ$5+6&gt;=$E18),"■",""))</x:f>
      </x:c>
      <x:c r="AK18" s="42" t="str">
        <x:f>IF(OR($E18="",$F18=""),"",IF(AND(AK$5&lt;=$F18,AK$5+6&gt;=$E18),"■",""))</x:f>
      </x:c>
    </x:row>
    <x:row r="19" ht="28" customHeight="1">
      <x:c r="A19" s="26" t="str">
        <x:v>PRD-R2-001</x:v>
      </x:c>
      <x:c r="B19" s="26" t="str">
        <x:v>Telegram Capture PRD</x:v>
      </x:c>
      <x:c r="C19" s="26" t="str">
        <x:v>Done</x:v>
      </x:c>
      <x:c r="D19" s="26" t="str">
        <x:v>R2</x:v>
      </x:c>
      <x:c r="E19" s="31" t="n">
        <x:v>46286</x:v>
      </x:c>
      <x:c r="F19" s="31" t="n">
        <x:v>46288</x:v>
      </x:c>
      <x:c r="G19" s="42" t="str">
        <x:f>IF(OR($E19="",$F19=""),"",IF(AND(G$5&lt;=$F19,G$5+6&gt;=$E19),"■",""))</x:f>
      </x:c>
      <x:c r="H19" s="42" t="str">
        <x:f>IF(OR($E19="",$F19=""),"",IF(AND(H$5&lt;=$F19,H$5+6&gt;=$E19),"■",""))</x:f>
      </x:c>
      <x:c r="I19" s="42" t="str">
        <x:f>IF(OR($E19="",$F19=""),"",IF(AND(I$5&lt;=$F19,I$5+6&gt;=$E19),"■",""))</x:f>
      </x:c>
      <x:c r="J19" s="42" t="str">
        <x:f>IF(OR($E19="",$F19=""),"",IF(AND(J$5&lt;=$F19,J$5+6&gt;=$E19),"■",""))</x:f>
      </x:c>
      <x:c r="K19" s="42" t="str">
        <x:f>IF(OR($E19="",$F19=""),"",IF(AND(K$5&lt;=$F19,K$5+6&gt;=$E19),"■",""))</x:f>
      </x:c>
      <x:c r="L19" s="42" t="str">
        <x:f>IF(OR($E19="",$F19=""),"",IF(AND(L$5&lt;=$F19,L$5+6&gt;=$E19),"■",""))</x:f>
        <x:v>■</x:v>
      </x:c>
      <x:c r="M19" s="42" t="str">
        <x:f>IF(OR($E19="",$F19=""),"",IF(AND(M$5&lt;=$F19,M$5+6&gt;=$E19),"■",""))</x:f>
      </x:c>
      <x:c r="N19" s="42" t="str">
        <x:f>IF(OR($E19="",$F19=""),"",IF(AND(N$5&lt;=$F19,N$5+6&gt;=$E19),"■",""))</x:f>
      </x:c>
      <x:c r="O19" s="42" t="str">
        <x:f>IF(OR($E19="",$F19=""),"",IF(AND(O$5&lt;=$F19,O$5+6&gt;=$E19),"■",""))</x:f>
      </x:c>
      <x:c r="P19" s="42" t="str">
        <x:f>IF(OR($E19="",$F19=""),"",IF(AND(P$5&lt;=$F19,P$5+6&gt;=$E19),"■",""))</x:f>
      </x:c>
      <x:c r="Q19" s="42" t="str">
        <x:f>IF(OR($E19="",$F19=""),"",IF(AND(Q$5&lt;=$F19,Q$5+6&gt;=$E19),"■",""))</x:f>
      </x:c>
      <x:c r="R19" s="42" t="str">
        <x:f>IF(OR($E19="",$F19=""),"",IF(AND(R$5&lt;=$F19,R$5+6&gt;=$E19),"■",""))</x:f>
      </x:c>
      <x:c r="S19" s="42" t="str">
        <x:f>IF(OR($E19="",$F19=""),"",IF(AND(S$5&lt;=$F19,S$5+6&gt;=$E19),"■",""))</x:f>
      </x:c>
      <x:c r="T19" s="42" t="str">
        <x:f>IF(OR($E19="",$F19=""),"",IF(AND(T$5&lt;=$F19,T$5+6&gt;=$E19),"■",""))</x:f>
      </x:c>
      <x:c r="U19" s="42" t="str">
        <x:f>IF(OR($E19="",$F19=""),"",IF(AND(U$5&lt;=$F19,U$5+6&gt;=$E19),"■",""))</x:f>
      </x:c>
      <x:c r="V19" s="42" t="str">
        <x:f>IF(OR($E19="",$F19=""),"",IF(AND(V$5&lt;=$F19,V$5+6&gt;=$E19),"■",""))</x:f>
      </x:c>
      <x:c r="W19" s="42" t="str">
        <x:f>IF(OR($E19="",$F19=""),"",IF(AND(W$5&lt;=$F19,W$5+6&gt;=$E19),"■",""))</x:f>
      </x:c>
      <x:c r="X19" s="42" t="str">
        <x:f>IF(OR($E19="",$F19=""),"",IF(AND(X$5&lt;=$F19,X$5+6&gt;=$E19),"■",""))</x:f>
      </x:c>
      <x:c r="Y19" s="42" t="str">
        <x:f>IF(OR($E19="",$F19=""),"",IF(AND(Y$5&lt;=$F19,Y$5+6&gt;=$E19),"■",""))</x:f>
      </x:c>
      <x:c r="Z19" s="42" t="str">
        <x:f>IF(OR($E19="",$F19=""),"",IF(AND(Z$5&lt;=$F19,Z$5+6&gt;=$E19),"■",""))</x:f>
      </x:c>
      <x:c r="AA19" s="42" t="str">
        <x:f>IF(OR($E19="",$F19=""),"",IF(AND(AA$5&lt;=$F19,AA$5+6&gt;=$E19),"■",""))</x:f>
      </x:c>
      <x:c r="AB19" s="42" t="str">
        <x:f>IF(OR($E19="",$F19=""),"",IF(AND(AB$5&lt;=$F19,AB$5+6&gt;=$E19),"■",""))</x:f>
      </x:c>
      <x:c r="AC19" s="42" t="str">
        <x:f>IF(OR($E19="",$F19=""),"",IF(AND(AC$5&lt;=$F19,AC$5+6&gt;=$E19),"■",""))</x:f>
      </x:c>
      <x:c r="AD19" s="42" t="str">
        <x:f>IF(OR($E19="",$F19=""),"",IF(AND(AD$5&lt;=$F19,AD$5+6&gt;=$E19),"■",""))</x:f>
      </x:c>
      <x:c r="AE19" s="42" t="str">
        <x:f>IF(OR($E19="",$F19=""),"",IF(AND(AE$5&lt;=$F19,AE$5+6&gt;=$E19),"■",""))</x:f>
      </x:c>
      <x:c r="AF19" s="42" t="str">
        <x:f>IF(OR($E19="",$F19=""),"",IF(AND(AF$5&lt;=$F19,AF$5+6&gt;=$E19),"■",""))</x:f>
      </x:c>
      <x:c r="AG19" s="42" t="str">
        <x:f>IF(OR($E19="",$F19=""),"",IF(AND(AG$5&lt;=$F19,AG$5+6&gt;=$E19),"■",""))</x:f>
      </x:c>
      <x:c r="AH19" s="42" t="str">
        <x:f>IF(OR($E19="",$F19=""),"",IF(AND(AH$5&lt;=$F19,AH$5+6&gt;=$E19),"■",""))</x:f>
      </x:c>
      <x:c r="AI19" s="42" t="str">
        <x:f>IF(OR($E19="",$F19=""),"",IF(AND(AI$5&lt;=$F19,AI$5+6&gt;=$E19),"■",""))</x:f>
      </x:c>
      <x:c r="AJ19" s="42" t="str">
        <x:f>IF(OR($E19="",$F19=""),"",IF(AND(AJ$5&lt;=$F19,AJ$5+6&gt;=$E19),"■",""))</x:f>
      </x:c>
      <x:c r="AK19" s="42" t="str">
        <x:f>IF(OR($E19="",$F19=""),"",IF(AND(AK$5&lt;=$F19,AK$5+6&gt;=$E19),"■",""))</x:f>
      </x:c>
    </x:row>
    <x:row r="20" ht="28" customHeight="1">
      <x:c r="A20" s="26" t="str">
        <x:v>UX-R2-001</x:v>
      </x:c>
      <x:c r="B20" s="26" t="str">
        <x:v>Telegram/Date Review/Gallery Designs</x:v>
      </x:c>
      <x:c r="C20" s="26" t="str">
        <x:v>Backlog</x:v>
      </x:c>
      <x:c r="D20" s="26" t="str">
        <x:v>R2</x:v>
      </x:c>
      <x:c r="E20" s="31" t="n">
        <x:v>46286</x:v>
      </x:c>
      <x:c r="F20" s="31" t="n">
        <x:v>46290</x:v>
      </x:c>
      <x:c r="G20" s="42" t="str">
        <x:f>IF(OR($E20="",$F20=""),"",IF(AND(G$5&lt;=$F20,G$5+6&gt;=$E20),"■",""))</x:f>
      </x:c>
      <x:c r="H20" s="42" t="str">
        <x:f>IF(OR($E20="",$F20=""),"",IF(AND(H$5&lt;=$F20,H$5+6&gt;=$E20),"■",""))</x:f>
      </x:c>
      <x:c r="I20" s="42" t="str">
        <x:f>IF(OR($E20="",$F20=""),"",IF(AND(I$5&lt;=$F20,I$5+6&gt;=$E20),"■",""))</x:f>
      </x:c>
      <x:c r="J20" s="42" t="str">
        <x:f>IF(OR($E20="",$F20=""),"",IF(AND(J$5&lt;=$F20,J$5+6&gt;=$E20),"■",""))</x:f>
      </x:c>
      <x:c r="K20" s="42" t="str">
        <x:f>IF(OR($E20="",$F20=""),"",IF(AND(K$5&lt;=$F20,K$5+6&gt;=$E20),"■",""))</x:f>
      </x:c>
      <x:c r="L20" s="42" t="str">
        <x:f>IF(OR($E20="",$F20=""),"",IF(AND(L$5&lt;=$F20,L$5+6&gt;=$E20),"■",""))</x:f>
        <x:v>■</x:v>
      </x:c>
      <x:c r="M20" s="42" t="str">
        <x:f>IF(OR($E20="",$F20=""),"",IF(AND(M$5&lt;=$F20,M$5+6&gt;=$E20),"■",""))</x:f>
      </x:c>
      <x:c r="N20" s="42" t="str">
        <x:f>IF(OR($E20="",$F20=""),"",IF(AND(N$5&lt;=$F20,N$5+6&gt;=$E20),"■",""))</x:f>
      </x:c>
      <x:c r="O20" s="42" t="str">
        <x:f>IF(OR($E20="",$F20=""),"",IF(AND(O$5&lt;=$F20,O$5+6&gt;=$E20),"■",""))</x:f>
      </x:c>
      <x:c r="P20" s="42" t="str">
        <x:f>IF(OR($E20="",$F20=""),"",IF(AND(P$5&lt;=$F20,P$5+6&gt;=$E20),"■",""))</x:f>
      </x:c>
      <x:c r="Q20" s="42" t="str">
        <x:f>IF(OR($E20="",$F20=""),"",IF(AND(Q$5&lt;=$F20,Q$5+6&gt;=$E20),"■",""))</x:f>
      </x:c>
      <x:c r="R20" s="42" t="str">
        <x:f>IF(OR($E20="",$F20=""),"",IF(AND(R$5&lt;=$F20,R$5+6&gt;=$E20),"■",""))</x:f>
      </x:c>
      <x:c r="S20" s="42" t="str">
        <x:f>IF(OR($E20="",$F20=""),"",IF(AND(S$5&lt;=$F20,S$5+6&gt;=$E20),"■",""))</x:f>
      </x:c>
      <x:c r="T20" s="42" t="str">
        <x:f>IF(OR($E20="",$F20=""),"",IF(AND(T$5&lt;=$F20,T$5+6&gt;=$E20),"■",""))</x:f>
      </x:c>
      <x:c r="U20" s="42" t="str">
        <x:f>IF(OR($E20="",$F20=""),"",IF(AND(U$5&lt;=$F20,U$5+6&gt;=$E20),"■",""))</x:f>
      </x:c>
      <x:c r="V20" s="42" t="str">
        <x:f>IF(OR($E20="",$F20=""),"",IF(AND(V$5&lt;=$F20,V$5+6&gt;=$E20),"■",""))</x:f>
      </x:c>
      <x:c r="W20" s="42" t="str">
        <x:f>IF(OR($E20="",$F20=""),"",IF(AND(W$5&lt;=$F20,W$5+6&gt;=$E20),"■",""))</x:f>
      </x:c>
      <x:c r="X20" s="42" t="str">
        <x:f>IF(OR($E20="",$F20=""),"",IF(AND(X$5&lt;=$F20,X$5+6&gt;=$E20),"■",""))</x:f>
      </x:c>
      <x:c r="Y20" s="42" t="str">
        <x:f>IF(OR($E20="",$F20=""),"",IF(AND(Y$5&lt;=$F20,Y$5+6&gt;=$E20),"■",""))</x:f>
      </x:c>
      <x:c r="Z20" s="42" t="str">
        <x:f>IF(OR($E20="",$F20=""),"",IF(AND(Z$5&lt;=$F20,Z$5+6&gt;=$E20),"■",""))</x:f>
      </x:c>
      <x:c r="AA20" s="42" t="str">
        <x:f>IF(OR($E20="",$F20=""),"",IF(AND(AA$5&lt;=$F20,AA$5+6&gt;=$E20),"■",""))</x:f>
      </x:c>
      <x:c r="AB20" s="42" t="str">
        <x:f>IF(OR($E20="",$F20=""),"",IF(AND(AB$5&lt;=$F20,AB$5+6&gt;=$E20),"■",""))</x:f>
      </x:c>
      <x:c r="AC20" s="42" t="str">
        <x:f>IF(OR($E20="",$F20=""),"",IF(AND(AC$5&lt;=$F20,AC$5+6&gt;=$E20),"■",""))</x:f>
      </x:c>
      <x:c r="AD20" s="42" t="str">
        <x:f>IF(OR($E20="",$F20=""),"",IF(AND(AD$5&lt;=$F20,AD$5+6&gt;=$E20),"■",""))</x:f>
      </x:c>
      <x:c r="AE20" s="42" t="str">
        <x:f>IF(OR($E20="",$F20=""),"",IF(AND(AE$5&lt;=$F20,AE$5+6&gt;=$E20),"■",""))</x:f>
      </x:c>
      <x:c r="AF20" s="42" t="str">
        <x:f>IF(OR($E20="",$F20=""),"",IF(AND(AF$5&lt;=$F20,AF$5+6&gt;=$E20),"■",""))</x:f>
      </x:c>
      <x:c r="AG20" s="42" t="str">
        <x:f>IF(OR($E20="",$F20=""),"",IF(AND(AG$5&lt;=$F20,AG$5+6&gt;=$E20),"■",""))</x:f>
      </x:c>
      <x:c r="AH20" s="42" t="str">
        <x:f>IF(OR($E20="",$F20=""),"",IF(AND(AH$5&lt;=$F20,AH$5+6&gt;=$E20),"■",""))</x:f>
      </x:c>
      <x:c r="AI20" s="42" t="str">
        <x:f>IF(OR($E20="",$F20=""),"",IF(AND(AI$5&lt;=$F20,AI$5+6&gt;=$E20),"■",""))</x:f>
      </x:c>
      <x:c r="AJ20" s="42" t="str">
        <x:f>IF(OR($E20="",$F20=""),"",IF(AND(AJ$5&lt;=$F20,AJ$5+6&gt;=$E20),"■",""))</x:f>
      </x:c>
      <x:c r="AK20" s="42" t="str">
        <x:f>IF(OR($E20="",$F20=""),"",IF(AND(AK$5&lt;=$F20,AK$5+6&gt;=$E20),"■",""))</x:f>
      </x:c>
    </x:row>
    <x:row r="21" ht="28" customHeight="1">
      <x:c r="A21" s="26" t="str">
        <x:v>ARCH-R2-001</x:v>
      </x:c>
      <x:c r="B21" s="26" t="str">
        <x:v>Media Pipeline &amp; Asset Lifecycle</x:v>
      </x:c>
      <x:c r="C21" s="26" t="str">
        <x:v>Backlog</x:v>
      </x:c>
      <x:c r="D21" s="26" t="str">
        <x:v>R2</x:v>
      </x:c>
      <x:c r="E21" s="31" t="n">
        <x:v>46286</x:v>
      </x:c>
      <x:c r="F21" s="31" t="n">
        <x:v>46290</x:v>
      </x:c>
      <x:c r="G21" s="42" t="str">
        <x:f>IF(OR($E21="",$F21=""),"",IF(AND(G$5&lt;=$F21,G$5+6&gt;=$E21),"■",""))</x:f>
      </x:c>
      <x:c r="H21" s="42" t="str">
        <x:f>IF(OR($E21="",$F21=""),"",IF(AND(H$5&lt;=$F21,H$5+6&gt;=$E21),"■",""))</x:f>
      </x:c>
      <x:c r="I21" s="42" t="str">
        <x:f>IF(OR($E21="",$F21=""),"",IF(AND(I$5&lt;=$F21,I$5+6&gt;=$E21),"■",""))</x:f>
      </x:c>
      <x:c r="J21" s="42" t="str">
        <x:f>IF(OR($E21="",$F21=""),"",IF(AND(J$5&lt;=$F21,J$5+6&gt;=$E21),"■",""))</x:f>
      </x:c>
      <x:c r="K21" s="42" t="str">
        <x:f>IF(OR($E21="",$F21=""),"",IF(AND(K$5&lt;=$F21,K$5+6&gt;=$E21),"■",""))</x:f>
      </x:c>
      <x:c r="L21" s="42" t="str">
        <x:f>IF(OR($E21="",$F21=""),"",IF(AND(L$5&lt;=$F21,L$5+6&gt;=$E21),"■",""))</x:f>
        <x:v>■</x:v>
      </x:c>
      <x:c r="M21" s="42" t="str">
        <x:f>IF(OR($E21="",$F21=""),"",IF(AND(M$5&lt;=$F21,M$5+6&gt;=$E21),"■",""))</x:f>
      </x:c>
      <x:c r="N21" s="42" t="str">
        <x:f>IF(OR($E21="",$F21=""),"",IF(AND(N$5&lt;=$F21,N$5+6&gt;=$E21),"■",""))</x:f>
      </x:c>
      <x:c r="O21" s="42" t="str">
        <x:f>IF(OR($E21="",$F21=""),"",IF(AND(O$5&lt;=$F21,O$5+6&gt;=$E21),"■",""))</x:f>
      </x:c>
      <x:c r="P21" s="42" t="str">
        <x:f>IF(OR($E21="",$F21=""),"",IF(AND(P$5&lt;=$F21,P$5+6&gt;=$E21),"■",""))</x:f>
      </x:c>
      <x:c r="Q21" s="42" t="str">
        <x:f>IF(OR($E21="",$F21=""),"",IF(AND(Q$5&lt;=$F21,Q$5+6&gt;=$E21),"■",""))</x:f>
      </x:c>
      <x:c r="R21" s="42" t="str">
        <x:f>IF(OR($E21="",$F21=""),"",IF(AND(R$5&lt;=$F21,R$5+6&gt;=$E21),"■",""))</x:f>
      </x:c>
      <x:c r="S21" s="42" t="str">
        <x:f>IF(OR($E21="",$F21=""),"",IF(AND(S$5&lt;=$F21,S$5+6&gt;=$E21),"■",""))</x:f>
      </x:c>
      <x:c r="T21" s="42" t="str">
        <x:f>IF(OR($E21="",$F21=""),"",IF(AND(T$5&lt;=$F21,T$5+6&gt;=$E21),"■",""))</x:f>
      </x:c>
      <x:c r="U21" s="42" t="str">
        <x:f>IF(OR($E21="",$F21=""),"",IF(AND(U$5&lt;=$F21,U$5+6&gt;=$E21),"■",""))</x:f>
      </x:c>
      <x:c r="V21" s="42" t="str">
        <x:f>IF(OR($E21="",$F21=""),"",IF(AND(V$5&lt;=$F21,V$5+6&gt;=$E21),"■",""))</x:f>
      </x:c>
      <x:c r="W21" s="42" t="str">
        <x:f>IF(OR($E21="",$F21=""),"",IF(AND(W$5&lt;=$F21,W$5+6&gt;=$E21),"■",""))</x:f>
      </x:c>
      <x:c r="X21" s="42" t="str">
        <x:f>IF(OR($E21="",$F21=""),"",IF(AND(X$5&lt;=$F21,X$5+6&gt;=$E21),"■",""))</x:f>
      </x:c>
      <x:c r="Y21" s="42" t="str">
        <x:f>IF(OR($E21="",$F21=""),"",IF(AND(Y$5&lt;=$F21,Y$5+6&gt;=$E21),"■",""))</x:f>
      </x:c>
      <x:c r="Z21" s="42" t="str">
        <x:f>IF(OR($E21="",$F21=""),"",IF(AND(Z$5&lt;=$F21,Z$5+6&gt;=$E21),"■",""))</x:f>
      </x:c>
      <x:c r="AA21" s="42" t="str">
        <x:f>IF(OR($E21="",$F21=""),"",IF(AND(AA$5&lt;=$F21,AA$5+6&gt;=$E21),"■",""))</x:f>
      </x:c>
      <x:c r="AB21" s="42" t="str">
        <x:f>IF(OR($E21="",$F21=""),"",IF(AND(AB$5&lt;=$F21,AB$5+6&gt;=$E21),"■",""))</x:f>
      </x:c>
      <x:c r="AC21" s="42" t="str">
        <x:f>IF(OR($E21="",$F21=""),"",IF(AND(AC$5&lt;=$F21,AC$5+6&gt;=$E21),"■",""))</x:f>
      </x:c>
      <x:c r="AD21" s="42" t="str">
        <x:f>IF(OR($E21="",$F21=""),"",IF(AND(AD$5&lt;=$F21,AD$5+6&gt;=$E21),"■",""))</x:f>
      </x:c>
      <x:c r="AE21" s="42" t="str">
        <x:f>IF(OR($E21="",$F21=""),"",IF(AND(AE$5&lt;=$F21,AE$5+6&gt;=$E21),"■",""))</x:f>
      </x:c>
      <x:c r="AF21" s="42" t="str">
        <x:f>IF(OR($E21="",$F21=""),"",IF(AND(AF$5&lt;=$F21,AF$5+6&gt;=$E21),"■",""))</x:f>
      </x:c>
      <x:c r="AG21" s="42" t="str">
        <x:f>IF(OR($E21="",$F21=""),"",IF(AND(AG$5&lt;=$F21,AG$5+6&gt;=$E21),"■",""))</x:f>
      </x:c>
      <x:c r="AH21" s="42" t="str">
        <x:f>IF(OR($E21="",$F21=""),"",IF(AND(AH$5&lt;=$F21,AH$5+6&gt;=$E21),"■",""))</x:f>
      </x:c>
      <x:c r="AI21" s="42" t="str">
        <x:f>IF(OR($E21="",$F21=""),"",IF(AND(AI$5&lt;=$F21,AI$5+6&gt;=$E21),"■",""))</x:f>
      </x:c>
      <x:c r="AJ21" s="42" t="str">
        <x:f>IF(OR($E21="",$F21=""),"",IF(AND(AJ$5&lt;=$F21,AJ$5+6&gt;=$E21),"■",""))</x:f>
      </x:c>
      <x:c r="AK21" s="42" t="str">
        <x:f>IF(OR($E21="",$F21=""),"",IF(AND(AK$5&lt;=$F21,AK$5+6&gt;=$E21),"■",""))</x:f>
      </x:c>
    </x:row>
    <x:row r="22" ht="28" customHeight="1">
      <x:c r="A22" s="26" t="str">
        <x:v>ENG-R2-001</x:v>
      </x:c>
      <x:c r="B22" s="26" t="str">
        <x:v>Telegram Authorization &amp; Durable Capture</x:v>
      </x:c>
      <x:c r="C22" s="26" t="str">
        <x:v>Backlog</x:v>
      </x:c>
      <x:c r="D22" s="26" t="str">
        <x:v>R2</x:v>
      </x:c>
      <x:c r="E22" s="31" t="n">
        <x:v>46289</x:v>
      </x:c>
      <x:c r="F22" s="31" t="n">
        <x:v>46297</x:v>
      </x:c>
      <x:c r="G22" s="42" t="str">
        <x:f>IF(OR($E22="",$F22=""),"",IF(AND(G$5&lt;=$F22,G$5+6&gt;=$E22),"■",""))</x:f>
      </x:c>
      <x:c r="H22" s="42" t="str">
        <x:f>IF(OR($E22="",$F22=""),"",IF(AND(H$5&lt;=$F22,H$5+6&gt;=$E22),"■",""))</x:f>
      </x:c>
      <x:c r="I22" s="42" t="str">
        <x:f>IF(OR($E22="",$F22=""),"",IF(AND(I$5&lt;=$F22,I$5+6&gt;=$E22),"■",""))</x:f>
      </x:c>
      <x:c r="J22" s="42" t="str">
        <x:f>IF(OR($E22="",$F22=""),"",IF(AND(J$5&lt;=$F22,J$5+6&gt;=$E22),"■",""))</x:f>
      </x:c>
      <x:c r="K22" s="42" t="str">
        <x:f>IF(OR($E22="",$F22=""),"",IF(AND(K$5&lt;=$F22,K$5+6&gt;=$E22),"■",""))</x:f>
      </x:c>
      <x:c r="L22" s="42" t="str">
        <x:f>IF(OR($E22="",$F22=""),"",IF(AND(L$5&lt;=$F22,L$5+6&gt;=$E22),"■",""))</x:f>
        <x:v>■</x:v>
      </x:c>
      <x:c r="M22" s="42" t="str">
        <x:f>IF(OR($E22="",$F22=""),"",IF(AND(M$5&lt;=$F22,M$5+6&gt;=$E22),"■",""))</x:f>
        <x:v>■</x:v>
      </x:c>
      <x:c r="N22" s="42" t="str">
        <x:f>IF(OR($E22="",$F22=""),"",IF(AND(N$5&lt;=$F22,N$5+6&gt;=$E22),"■",""))</x:f>
      </x:c>
      <x:c r="O22" s="42" t="str">
        <x:f>IF(OR($E22="",$F22=""),"",IF(AND(O$5&lt;=$F22,O$5+6&gt;=$E22),"■",""))</x:f>
      </x:c>
      <x:c r="P22" s="42" t="str">
        <x:f>IF(OR($E22="",$F22=""),"",IF(AND(P$5&lt;=$F22,P$5+6&gt;=$E22),"■",""))</x:f>
      </x:c>
      <x:c r="Q22" s="42" t="str">
        <x:f>IF(OR($E22="",$F22=""),"",IF(AND(Q$5&lt;=$F22,Q$5+6&gt;=$E22),"■",""))</x:f>
      </x:c>
      <x:c r="R22" s="42" t="str">
        <x:f>IF(OR($E22="",$F22=""),"",IF(AND(R$5&lt;=$F22,R$5+6&gt;=$E22),"■",""))</x:f>
      </x:c>
      <x:c r="S22" s="42" t="str">
        <x:f>IF(OR($E22="",$F22=""),"",IF(AND(S$5&lt;=$F22,S$5+6&gt;=$E22),"■",""))</x:f>
      </x:c>
      <x:c r="T22" s="42" t="str">
        <x:f>IF(OR($E22="",$F22=""),"",IF(AND(T$5&lt;=$F22,T$5+6&gt;=$E22),"■",""))</x:f>
      </x:c>
      <x:c r="U22" s="42" t="str">
        <x:f>IF(OR($E22="",$F22=""),"",IF(AND(U$5&lt;=$F22,U$5+6&gt;=$E22),"■",""))</x:f>
      </x:c>
      <x:c r="V22" s="42" t="str">
        <x:f>IF(OR($E22="",$F22=""),"",IF(AND(V$5&lt;=$F22,V$5+6&gt;=$E22),"■",""))</x:f>
      </x:c>
      <x:c r="W22" s="42" t="str">
        <x:f>IF(OR($E22="",$F22=""),"",IF(AND(W$5&lt;=$F22,W$5+6&gt;=$E22),"■",""))</x:f>
      </x:c>
      <x:c r="X22" s="42" t="str">
        <x:f>IF(OR($E22="",$F22=""),"",IF(AND(X$5&lt;=$F22,X$5+6&gt;=$E22),"■",""))</x:f>
      </x:c>
      <x:c r="Y22" s="42" t="str">
        <x:f>IF(OR($E22="",$F22=""),"",IF(AND(Y$5&lt;=$F22,Y$5+6&gt;=$E22),"■",""))</x:f>
      </x:c>
      <x:c r="Z22" s="42" t="str">
        <x:f>IF(OR($E22="",$F22=""),"",IF(AND(Z$5&lt;=$F22,Z$5+6&gt;=$E22),"■",""))</x:f>
      </x:c>
      <x:c r="AA22" s="42" t="str">
        <x:f>IF(OR($E22="",$F22=""),"",IF(AND(AA$5&lt;=$F22,AA$5+6&gt;=$E22),"■",""))</x:f>
      </x:c>
      <x:c r="AB22" s="42" t="str">
        <x:f>IF(OR($E22="",$F22=""),"",IF(AND(AB$5&lt;=$F22,AB$5+6&gt;=$E22),"■",""))</x:f>
      </x:c>
      <x:c r="AC22" s="42" t="str">
        <x:f>IF(OR($E22="",$F22=""),"",IF(AND(AC$5&lt;=$F22,AC$5+6&gt;=$E22),"■",""))</x:f>
      </x:c>
      <x:c r="AD22" s="42" t="str">
        <x:f>IF(OR($E22="",$F22=""),"",IF(AND(AD$5&lt;=$F22,AD$5+6&gt;=$E22),"■",""))</x:f>
      </x:c>
      <x:c r="AE22" s="42" t="str">
        <x:f>IF(OR($E22="",$F22=""),"",IF(AND(AE$5&lt;=$F22,AE$5+6&gt;=$E22),"■",""))</x:f>
      </x:c>
      <x:c r="AF22" s="42" t="str">
        <x:f>IF(OR($E22="",$F22=""),"",IF(AND(AF$5&lt;=$F22,AF$5+6&gt;=$E22),"■",""))</x:f>
      </x:c>
      <x:c r="AG22" s="42" t="str">
        <x:f>IF(OR($E22="",$F22=""),"",IF(AND(AG$5&lt;=$F22,AG$5+6&gt;=$E22),"■",""))</x:f>
      </x:c>
      <x:c r="AH22" s="42" t="str">
        <x:f>IF(OR($E22="",$F22=""),"",IF(AND(AH$5&lt;=$F22,AH$5+6&gt;=$E22),"■",""))</x:f>
      </x:c>
      <x:c r="AI22" s="42" t="str">
        <x:f>IF(OR($E22="",$F22=""),"",IF(AND(AI$5&lt;=$F22,AI$5+6&gt;=$E22),"■",""))</x:f>
      </x:c>
      <x:c r="AJ22" s="42" t="str">
        <x:f>IF(OR($E22="",$F22=""),"",IF(AND(AJ$5&lt;=$F22,AJ$5+6&gt;=$E22),"■",""))</x:f>
      </x:c>
      <x:c r="AK22" s="42" t="str">
        <x:f>IF(OR($E22="",$F22=""),"",IF(AND(AK$5&lt;=$F22,AK$5+6&gt;=$E22),"■",""))</x:f>
      </x:c>
    </x:row>
    <x:row r="23" ht="28" customHeight="1">
      <x:c r="A23" s="26" t="str">
        <x:v>ENG-R2-002</x:v>
      </x:c>
      <x:c r="B23" s="26" t="str">
        <x:v>Gallery/Cover/Dedup/Derivatives</x:v>
      </x:c>
      <x:c r="C23" s="26" t="str">
        <x:v>Backlog</x:v>
      </x:c>
      <x:c r="D23" s="26" t="str">
        <x:v>R2</x:v>
      </x:c>
      <x:c r="E23" s="31" t="n">
        <x:v>46293</x:v>
      </x:c>
      <x:c r="F23" s="31" t="n">
        <x:v>46301</x:v>
      </x:c>
      <x:c r="G23" s="42" t="str">
        <x:f>IF(OR($E23="",$F23=""),"",IF(AND(G$5&lt;=$F23,G$5+6&gt;=$E23),"■",""))</x:f>
      </x:c>
      <x:c r="H23" s="42" t="str">
        <x:f>IF(OR($E23="",$F23=""),"",IF(AND(H$5&lt;=$F23,H$5+6&gt;=$E23),"■",""))</x:f>
      </x:c>
      <x:c r="I23" s="42" t="str">
        <x:f>IF(OR($E23="",$F23=""),"",IF(AND(I$5&lt;=$F23,I$5+6&gt;=$E23),"■",""))</x:f>
      </x:c>
      <x:c r="J23" s="42" t="str">
        <x:f>IF(OR($E23="",$F23=""),"",IF(AND(J$5&lt;=$F23,J$5+6&gt;=$E23),"■",""))</x:f>
      </x:c>
      <x:c r="K23" s="42" t="str">
        <x:f>IF(OR($E23="",$F23=""),"",IF(AND(K$5&lt;=$F23,K$5+6&gt;=$E23),"■",""))</x:f>
      </x:c>
      <x:c r="L23" s="42" t="str">
        <x:f>IF(OR($E23="",$F23=""),"",IF(AND(L$5&lt;=$F23,L$5+6&gt;=$E23),"■",""))</x:f>
      </x:c>
      <x:c r="M23" s="42" t="str">
        <x:f>IF(OR($E23="",$F23=""),"",IF(AND(M$5&lt;=$F23,M$5+6&gt;=$E23),"■",""))</x:f>
        <x:v>■</x:v>
      </x:c>
      <x:c r="N23" s="42" t="str">
        <x:f>IF(OR($E23="",$F23=""),"",IF(AND(N$5&lt;=$F23,N$5+6&gt;=$E23),"■",""))</x:f>
        <x:v>■</x:v>
      </x:c>
      <x:c r="O23" s="42" t="str">
        <x:f>IF(OR($E23="",$F23=""),"",IF(AND(O$5&lt;=$F23,O$5+6&gt;=$E23),"■",""))</x:f>
      </x:c>
      <x:c r="P23" s="42" t="str">
        <x:f>IF(OR($E23="",$F23=""),"",IF(AND(P$5&lt;=$F23,P$5+6&gt;=$E23),"■",""))</x:f>
      </x:c>
      <x:c r="Q23" s="42" t="str">
        <x:f>IF(OR($E23="",$F23=""),"",IF(AND(Q$5&lt;=$F23,Q$5+6&gt;=$E23),"■",""))</x:f>
      </x:c>
      <x:c r="R23" s="42" t="str">
        <x:f>IF(OR($E23="",$F23=""),"",IF(AND(R$5&lt;=$F23,R$5+6&gt;=$E23),"■",""))</x:f>
      </x:c>
      <x:c r="S23" s="42" t="str">
        <x:f>IF(OR($E23="",$F23=""),"",IF(AND(S$5&lt;=$F23,S$5+6&gt;=$E23),"■",""))</x:f>
      </x:c>
      <x:c r="T23" s="42" t="str">
        <x:f>IF(OR($E23="",$F23=""),"",IF(AND(T$5&lt;=$F23,T$5+6&gt;=$E23),"■",""))</x:f>
      </x:c>
      <x:c r="U23" s="42" t="str">
        <x:f>IF(OR($E23="",$F23=""),"",IF(AND(U$5&lt;=$F23,U$5+6&gt;=$E23),"■",""))</x:f>
      </x:c>
      <x:c r="V23" s="42" t="str">
        <x:f>IF(OR($E23="",$F23=""),"",IF(AND(V$5&lt;=$F23,V$5+6&gt;=$E23),"■",""))</x:f>
      </x:c>
      <x:c r="W23" s="42" t="str">
        <x:f>IF(OR($E23="",$F23=""),"",IF(AND(W$5&lt;=$F23,W$5+6&gt;=$E23),"■",""))</x:f>
      </x:c>
      <x:c r="X23" s="42" t="str">
        <x:f>IF(OR($E23="",$F23=""),"",IF(AND(X$5&lt;=$F23,X$5+6&gt;=$E23),"■",""))</x:f>
      </x:c>
      <x:c r="Y23" s="42" t="str">
        <x:f>IF(OR($E23="",$F23=""),"",IF(AND(Y$5&lt;=$F23,Y$5+6&gt;=$E23),"■",""))</x:f>
      </x:c>
      <x:c r="Z23" s="42" t="str">
        <x:f>IF(OR($E23="",$F23=""),"",IF(AND(Z$5&lt;=$F23,Z$5+6&gt;=$E23),"■",""))</x:f>
      </x:c>
      <x:c r="AA23" s="42" t="str">
        <x:f>IF(OR($E23="",$F23=""),"",IF(AND(AA$5&lt;=$F23,AA$5+6&gt;=$E23),"■",""))</x:f>
      </x:c>
      <x:c r="AB23" s="42" t="str">
        <x:f>IF(OR($E23="",$F23=""),"",IF(AND(AB$5&lt;=$F23,AB$5+6&gt;=$E23),"■",""))</x:f>
      </x:c>
      <x:c r="AC23" s="42" t="str">
        <x:f>IF(OR($E23="",$F23=""),"",IF(AND(AC$5&lt;=$F23,AC$5+6&gt;=$E23),"■",""))</x:f>
      </x:c>
      <x:c r="AD23" s="42" t="str">
        <x:f>IF(OR($E23="",$F23=""),"",IF(AND(AD$5&lt;=$F23,AD$5+6&gt;=$E23),"■",""))</x:f>
      </x:c>
      <x:c r="AE23" s="42" t="str">
        <x:f>IF(OR($E23="",$F23=""),"",IF(AND(AE$5&lt;=$F23,AE$5+6&gt;=$E23),"■",""))</x:f>
      </x:c>
      <x:c r="AF23" s="42" t="str">
        <x:f>IF(OR($E23="",$F23=""),"",IF(AND(AF$5&lt;=$F23,AF$5+6&gt;=$E23),"■",""))</x:f>
      </x:c>
      <x:c r="AG23" s="42" t="str">
        <x:f>IF(OR($E23="",$F23=""),"",IF(AND(AG$5&lt;=$F23,AG$5+6&gt;=$E23),"■",""))</x:f>
      </x:c>
      <x:c r="AH23" s="42" t="str">
        <x:f>IF(OR($E23="",$F23=""),"",IF(AND(AH$5&lt;=$F23,AH$5+6&gt;=$E23),"■",""))</x:f>
      </x:c>
      <x:c r="AI23" s="42" t="str">
        <x:f>IF(OR($E23="",$F23=""),"",IF(AND(AI$5&lt;=$F23,AI$5+6&gt;=$E23),"■",""))</x:f>
      </x:c>
      <x:c r="AJ23" s="42" t="str">
        <x:f>IF(OR($E23="",$F23=""),"",IF(AND(AJ$5&lt;=$F23,AJ$5+6&gt;=$E23),"■",""))</x:f>
      </x:c>
      <x:c r="AK23" s="42" t="str">
        <x:f>IF(OR($E23="",$F23=""),"",IF(AND(AK$5&lt;=$F23,AK$5+6&gt;=$E23),"■",""))</x:f>
      </x:c>
    </x:row>
    <x:row r="24" ht="28" customHeight="1">
      <x:c r="A24" s="26" t="str">
        <x:v>REL-R2-001</x:v>
      </x:c>
      <x:c r="B24" s="26" t="str">
        <x:v>Media Privacy/Restore Acceptance</x:v>
      </x:c>
      <x:c r="C24" s="26" t="str">
        <x:v>Backlog</x:v>
      </x:c>
      <x:c r="D24" s="26" t="str">
        <x:v>R2</x:v>
      </x:c>
      <x:c r="E24" s="31" t="n">
        <x:v>46302</x:v>
      </x:c>
      <x:c r="F24" s="31" t="n">
        <x:v>46304</x:v>
      </x:c>
      <x:c r="G24" s="42" t="str">
        <x:f>IF(OR($E24="",$F24=""),"",IF(AND(G$5&lt;=$F24,G$5+6&gt;=$E24),"■",""))</x:f>
      </x:c>
      <x:c r="H24" s="42" t="str">
        <x:f>IF(OR($E24="",$F24=""),"",IF(AND(H$5&lt;=$F24,H$5+6&gt;=$E24),"■",""))</x:f>
      </x:c>
      <x:c r="I24" s="42" t="str">
        <x:f>IF(OR($E24="",$F24=""),"",IF(AND(I$5&lt;=$F24,I$5+6&gt;=$E24),"■",""))</x:f>
      </x:c>
      <x:c r="J24" s="42" t="str">
        <x:f>IF(OR($E24="",$F24=""),"",IF(AND(J$5&lt;=$F24,J$5+6&gt;=$E24),"■",""))</x:f>
      </x:c>
      <x:c r="K24" s="42" t="str">
        <x:f>IF(OR($E24="",$F24=""),"",IF(AND(K$5&lt;=$F24,K$5+6&gt;=$E24),"■",""))</x:f>
      </x:c>
      <x:c r="L24" s="42" t="str">
        <x:f>IF(OR($E24="",$F24=""),"",IF(AND(L$5&lt;=$F24,L$5+6&gt;=$E24),"■",""))</x:f>
      </x:c>
      <x:c r="M24" s="42" t="str">
        <x:f>IF(OR($E24="",$F24=""),"",IF(AND(M$5&lt;=$F24,M$5+6&gt;=$E24),"■",""))</x:f>
      </x:c>
      <x:c r="N24" s="42" t="str">
        <x:f>IF(OR($E24="",$F24=""),"",IF(AND(N$5&lt;=$F24,N$5+6&gt;=$E24),"■",""))</x:f>
        <x:v>■</x:v>
      </x:c>
      <x:c r="O24" s="42" t="str">
        <x:f>IF(OR($E24="",$F24=""),"",IF(AND(O$5&lt;=$F24,O$5+6&gt;=$E24),"■",""))</x:f>
      </x:c>
      <x:c r="P24" s="42" t="str">
        <x:f>IF(OR($E24="",$F24=""),"",IF(AND(P$5&lt;=$F24,P$5+6&gt;=$E24),"■",""))</x:f>
      </x:c>
      <x:c r="Q24" s="42" t="str">
        <x:f>IF(OR($E24="",$F24=""),"",IF(AND(Q$5&lt;=$F24,Q$5+6&gt;=$E24),"■",""))</x:f>
      </x:c>
      <x:c r="R24" s="42" t="str">
        <x:f>IF(OR($E24="",$F24=""),"",IF(AND(R$5&lt;=$F24,R$5+6&gt;=$E24),"■",""))</x:f>
      </x:c>
      <x:c r="S24" s="42" t="str">
        <x:f>IF(OR($E24="",$F24=""),"",IF(AND(S$5&lt;=$F24,S$5+6&gt;=$E24),"■",""))</x:f>
      </x:c>
      <x:c r="T24" s="42" t="str">
        <x:f>IF(OR($E24="",$F24=""),"",IF(AND(T$5&lt;=$F24,T$5+6&gt;=$E24),"■",""))</x:f>
      </x:c>
      <x:c r="U24" s="42" t="str">
        <x:f>IF(OR($E24="",$F24=""),"",IF(AND(U$5&lt;=$F24,U$5+6&gt;=$E24),"■",""))</x:f>
      </x:c>
      <x:c r="V24" s="42" t="str">
        <x:f>IF(OR($E24="",$F24=""),"",IF(AND(V$5&lt;=$F24,V$5+6&gt;=$E24),"■",""))</x:f>
      </x:c>
      <x:c r="W24" s="42" t="str">
        <x:f>IF(OR($E24="",$F24=""),"",IF(AND(W$5&lt;=$F24,W$5+6&gt;=$E24),"■",""))</x:f>
      </x:c>
      <x:c r="X24" s="42" t="str">
        <x:f>IF(OR($E24="",$F24=""),"",IF(AND(X$5&lt;=$F24,X$5+6&gt;=$E24),"■",""))</x:f>
      </x:c>
      <x:c r="Y24" s="42" t="str">
        <x:f>IF(OR($E24="",$F24=""),"",IF(AND(Y$5&lt;=$F24,Y$5+6&gt;=$E24),"■",""))</x:f>
      </x:c>
      <x:c r="Z24" s="42" t="str">
        <x:f>IF(OR($E24="",$F24=""),"",IF(AND(Z$5&lt;=$F24,Z$5+6&gt;=$E24),"■",""))</x:f>
      </x:c>
      <x:c r="AA24" s="42" t="str">
        <x:f>IF(OR($E24="",$F24=""),"",IF(AND(AA$5&lt;=$F24,AA$5+6&gt;=$E24),"■",""))</x:f>
      </x:c>
      <x:c r="AB24" s="42" t="str">
        <x:f>IF(OR($E24="",$F24=""),"",IF(AND(AB$5&lt;=$F24,AB$5+6&gt;=$E24),"■",""))</x:f>
      </x:c>
      <x:c r="AC24" s="42" t="str">
        <x:f>IF(OR($E24="",$F24=""),"",IF(AND(AC$5&lt;=$F24,AC$5+6&gt;=$E24),"■",""))</x:f>
      </x:c>
      <x:c r="AD24" s="42" t="str">
        <x:f>IF(OR($E24="",$F24=""),"",IF(AND(AD$5&lt;=$F24,AD$5+6&gt;=$E24),"■",""))</x:f>
      </x:c>
      <x:c r="AE24" s="42" t="str">
        <x:f>IF(OR($E24="",$F24=""),"",IF(AND(AE$5&lt;=$F24,AE$5+6&gt;=$E24),"■",""))</x:f>
      </x:c>
      <x:c r="AF24" s="42" t="str">
        <x:f>IF(OR($E24="",$F24=""),"",IF(AND(AF$5&lt;=$F24,AF$5+6&gt;=$E24),"■",""))</x:f>
      </x:c>
      <x:c r="AG24" s="42" t="str">
        <x:f>IF(OR($E24="",$F24=""),"",IF(AND(AG$5&lt;=$F24,AG$5+6&gt;=$E24),"■",""))</x:f>
      </x:c>
      <x:c r="AH24" s="42" t="str">
        <x:f>IF(OR($E24="",$F24=""),"",IF(AND(AH$5&lt;=$F24,AH$5+6&gt;=$E24),"■",""))</x:f>
      </x:c>
      <x:c r="AI24" s="42" t="str">
        <x:f>IF(OR($E24="",$F24=""),"",IF(AND(AI$5&lt;=$F24,AI$5+6&gt;=$E24),"■",""))</x:f>
      </x:c>
      <x:c r="AJ24" s="42" t="str">
        <x:f>IF(OR($E24="",$F24=""),"",IF(AND(AJ$5&lt;=$F24,AJ$5+6&gt;=$E24),"■",""))</x:f>
      </x:c>
      <x:c r="AK24" s="42" t="str">
        <x:f>IF(OR($E24="",$F24=""),"",IF(AND(AK$5&lt;=$F24,AK$5+6&gt;=$E24),"■",""))</x:f>
      </x:c>
    </x:row>
    <x:row r="25" ht="28" customHeight="1">
      <x:c r="A25" s="26" t="str">
        <x:v>PRD-R3-001</x:v>
      </x:c>
      <x:c r="B25" s="26" t="str">
        <x:v>Retrieval &amp; Date Integrity PRD</x:v>
      </x:c>
      <x:c r="C25" s="26" t="str">
        <x:v>Done</x:v>
      </x:c>
      <x:c r="D25" s="26" t="str">
        <x:v>R3</x:v>
      </x:c>
      <x:c r="E25" s="31" t="n">
        <x:v>46307</x:v>
      </x:c>
      <x:c r="F25" s="31" t="n">
        <x:v>46309</x:v>
      </x:c>
      <x:c r="G25" s="42" t="str">
        <x:f>IF(OR($E25="",$F25=""),"",IF(AND(G$5&lt;=$F25,G$5+6&gt;=$E25),"■",""))</x:f>
      </x:c>
      <x:c r="H25" s="42" t="str">
        <x:f>IF(OR($E25="",$F25=""),"",IF(AND(H$5&lt;=$F25,H$5+6&gt;=$E25),"■",""))</x:f>
      </x:c>
      <x:c r="I25" s="42" t="str">
        <x:f>IF(OR($E25="",$F25=""),"",IF(AND(I$5&lt;=$F25,I$5+6&gt;=$E25),"■",""))</x:f>
      </x:c>
      <x:c r="J25" s="42" t="str">
        <x:f>IF(OR($E25="",$F25=""),"",IF(AND(J$5&lt;=$F25,J$5+6&gt;=$E25),"■",""))</x:f>
      </x:c>
      <x:c r="K25" s="42" t="str">
        <x:f>IF(OR($E25="",$F25=""),"",IF(AND(K$5&lt;=$F25,K$5+6&gt;=$E25),"■",""))</x:f>
      </x:c>
      <x:c r="L25" s="42" t="str">
        <x:f>IF(OR($E25="",$F25=""),"",IF(AND(L$5&lt;=$F25,L$5+6&gt;=$E25),"■",""))</x:f>
      </x:c>
      <x:c r="M25" s="42" t="str">
        <x:f>IF(OR($E25="",$F25=""),"",IF(AND(M$5&lt;=$F25,M$5+6&gt;=$E25),"■",""))</x:f>
      </x:c>
      <x:c r="N25" s="42" t="str">
        <x:f>IF(OR($E25="",$F25=""),"",IF(AND(N$5&lt;=$F25,N$5+6&gt;=$E25),"■",""))</x:f>
      </x:c>
      <x:c r="O25" s="42" t="str">
        <x:f>IF(OR($E25="",$F25=""),"",IF(AND(O$5&lt;=$F25,O$5+6&gt;=$E25),"■",""))</x:f>
        <x:v>■</x:v>
      </x:c>
      <x:c r="P25" s="42" t="str">
        <x:f>IF(OR($E25="",$F25=""),"",IF(AND(P$5&lt;=$F25,P$5+6&gt;=$E25),"■",""))</x:f>
      </x:c>
      <x:c r="Q25" s="42" t="str">
        <x:f>IF(OR($E25="",$F25=""),"",IF(AND(Q$5&lt;=$F25,Q$5+6&gt;=$E25),"■",""))</x:f>
      </x:c>
      <x:c r="R25" s="42" t="str">
        <x:f>IF(OR($E25="",$F25=""),"",IF(AND(R$5&lt;=$F25,R$5+6&gt;=$E25),"■",""))</x:f>
      </x:c>
      <x:c r="S25" s="42" t="str">
        <x:f>IF(OR($E25="",$F25=""),"",IF(AND(S$5&lt;=$F25,S$5+6&gt;=$E25),"■",""))</x:f>
      </x:c>
      <x:c r="T25" s="42" t="str">
        <x:f>IF(OR($E25="",$F25=""),"",IF(AND(T$5&lt;=$F25,T$5+6&gt;=$E25),"■",""))</x:f>
      </x:c>
      <x:c r="U25" s="42" t="str">
        <x:f>IF(OR($E25="",$F25=""),"",IF(AND(U$5&lt;=$F25,U$5+6&gt;=$E25),"■",""))</x:f>
      </x:c>
      <x:c r="V25" s="42" t="str">
        <x:f>IF(OR($E25="",$F25=""),"",IF(AND(V$5&lt;=$F25,V$5+6&gt;=$E25),"■",""))</x:f>
      </x:c>
      <x:c r="W25" s="42" t="str">
        <x:f>IF(OR($E25="",$F25=""),"",IF(AND(W$5&lt;=$F25,W$5+6&gt;=$E25),"■",""))</x:f>
      </x:c>
      <x:c r="X25" s="42" t="str">
        <x:f>IF(OR($E25="",$F25=""),"",IF(AND(X$5&lt;=$F25,X$5+6&gt;=$E25),"■",""))</x:f>
      </x:c>
      <x:c r="Y25" s="42" t="str">
        <x:f>IF(OR($E25="",$F25=""),"",IF(AND(Y$5&lt;=$F25,Y$5+6&gt;=$E25),"■",""))</x:f>
      </x:c>
      <x:c r="Z25" s="42" t="str">
        <x:f>IF(OR($E25="",$F25=""),"",IF(AND(Z$5&lt;=$F25,Z$5+6&gt;=$E25),"■",""))</x:f>
      </x:c>
      <x:c r="AA25" s="42" t="str">
        <x:f>IF(OR($E25="",$F25=""),"",IF(AND(AA$5&lt;=$F25,AA$5+6&gt;=$E25),"■",""))</x:f>
      </x:c>
      <x:c r="AB25" s="42" t="str">
        <x:f>IF(OR($E25="",$F25=""),"",IF(AND(AB$5&lt;=$F25,AB$5+6&gt;=$E25),"■",""))</x:f>
      </x:c>
      <x:c r="AC25" s="42" t="str">
        <x:f>IF(OR($E25="",$F25=""),"",IF(AND(AC$5&lt;=$F25,AC$5+6&gt;=$E25),"■",""))</x:f>
      </x:c>
      <x:c r="AD25" s="42" t="str">
        <x:f>IF(OR($E25="",$F25=""),"",IF(AND(AD$5&lt;=$F25,AD$5+6&gt;=$E25),"■",""))</x:f>
      </x:c>
      <x:c r="AE25" s="42" t="str">
        <x:f>IF(OR($E25="",$F25=""),"",IF(AND(AE$5&lt;=$F25,AE$5+6&gt;=$E25),"■",""))</x:f>
      </x:c>
      <x:c r="AF25" s="42" t="str">
        <x:f>IF(OR($E25="",$F25=""),"",IF(AND(AF$5&lt;=$F25,AF$5+6&gt;=$E25),"■",""))</x:f>
      </x:c>
      <x:c r="AG25" s="42" t="str">
        <x:f>IF(OR($E25="",$F25=""),"",IF(AND(AG$5&lt;=$F25,AG$5+6&gt;=$E25),"■",""))</x:f>
      </x:c>
      <x:c r="AH25" s="42" t="str">
        <x:f>IF(OR($E25="",$F25=""),"",IF(AND(AH$5&lt;=$F25,AH$5+6&gt;=$E25),"■",""))</x:f>
      </x:c>
      <x:c r="AI25" s="42" t="str">
        <x:f>IF(OR($E25="",$F25=""),"",IF(AND(AI$5&lt;=$F25,AI$5+6&gt;=$E25),"■",""))</x:f>
      </x:c>
      <x:c r="AJ25" s="42" t="str">
        <x:f>IF(OR($E25="",$F25=""),"",IF(AND(AJ$5&lt;=$F25,AJ$5+6&gt;=$E25),"■",""))</x:f>
      </x:c>
      <x:c r="AK25" s="42" t="str">
        <x:f>IF(OR($E25="",$F25=""),"",IF(AND(AK$5&lt;=$F25,AK$5+6&gt;=$E25),"■",""))</x:f>
      </x:c>
    </x:row>
    <x:row r="26" ht="28" customHeight="1">
      <x:c r="A26" s="26" t="str">
        <x:v>UX-R3-001</x:v>
      </x:c>
      <x:c r="B26" s="26" t="str">
        <x:v>Timeline/Search/Date Review Designs</x:v>
      </x:c>
      <x:c r="C26" s="26" t="str">
        <x:v>Backlog</x:v>
      </x:c>
      <x:c r="D26" s="26" t="str">
        <x:v>R3</x:v>
      </x:c>
      <x:c r="E26" s="31" t="n">
        <x:v>46307</x:v>
      </x:c>
      <x:c r="F26" s="31" t="n">
        <x:v>46311</x:v>
      </x:c>
      <x:c r="G26" s="42" t="str">
        <x:f>IF(OR($E26="",$F26=""),"",IF(AND(G$5&lt;=$F26,G$5+6&gt;=$E26),"■",""))</x:f>
      </x:c>
      <x:c r="H26" s="42" t="str">
        <x:f>IF(OR($E26="",$F26=""),"",IF(AND(H$5&lt;=$F26,H$5+6&gt;=$E26),"■",""))</x:f>
      </x:c>
      <x:c r="I26" s="42" t="str">
        <x:f>IF(OR($E26="",$F26=""),"",IF(AND(I$5&lt;=$F26,I$5+6&gt;=$E26),"■",""))</x:f>
      </x:c>
      <x:c r="J26" s="42" t="str">
        <x:f>IF(OR($E26="",$F26=""),"",IF(AND(J$5&lt;=$F26,J$5+6&gt;=$E26),"■",""))</x:f>
      </x:c>
      <x:c r="K26" s="42" t="str">
        <x:f>IF(OR($E26="",$F26=""),"",IF(AND(K$5&lt;=$F26,K$5+6&gt;=$E26),"■",""))</x:f>
      </x:c>
      <x:c r="L26" s="42" t="str">
        <x:f>IF(OR($E26="",$F26=""),"",IF(AND(L$5&lt;=$F26,L$5+6&gt;=$E26),"■",""))</x:f>
      </x:c>
      <x:c r="M26" s="42" t="str">
        <x:f>IF(OR($E26="",$F26=""),"",IF(AND(M$5&lt;=$F26,M$5+6&gt;=$E26),"■",""))</x:f>
      </x:c>
      <x:c r="N26" s="42" t="str">
        <x:f>IF(OR($E26="",$F26=""),"",IF(AND(N$5&lt;=$F26,N$5+6&gt;=$E26),"■",""))</x:f>
      </x:c>
      <x:c r="O26" s="42" t="str">
        <x:f>IF(OR($E26="",$F26=""),"",IF(AND(O$5&lt;=$F26,O$5+6&gt;=$E26),"■",""))</x:f>
        <x:v>■</x:v>
      </x:c>
      <x:c r="P26" s="42" t="str">
        <x:f>IF(OR($E26="",$F26=""),"",IF(AND(P$5&lt;=$F26,P$5+6&gt;=$E26),"■",""))</x:f>
      </x:c>
      <x:c r="Q26" s="42" t="str">
        <x:f>IF(OR($E26="",$F26=""),"",IF(AND(Q$5&lt;=$F26,Q$5+6&gt;=$E26),"■",""))</x:f>
      </x:c>
      <x:c r="R26" s="42" t="str">
        <x:f>IF(OR($E26="",$F26=""),"",IF(AND(R$5&lt;=$F26,R$5+6&gt;=$E26),"■",""))</x:f>
      </x:c>
      <x:c r="S26" s="42" t="str">
        <x:f>IF(OR($E26="",$F26=""),"",IF(AND(S$5&lt;=$F26,S$5+6&gt;=$E26),"■",""))</x:f>
      </x:c>
      <x:c r="T26" s="42" t="str">
        <x:f>IF(OR($E26="",$F26=""),"",IF(AND(T$5&lt;=$F26,T$5+6&gt;=$E26),"■",""))</x:f>
      </x:c>
      <x:c r="U26" s="42" t="str">
        <x:f>IF(OR($E26="",$F26=""),"",IF(AND(U$5&lt;=$F26,U$5+6&gt;=$E26),"■",""))</x:f>
      </x:c>
      <x:c r="V26" s="42" t="str">
        <x:f>IF(OR($E26="",$F26=""),"",IF(AND(V$5&lt;=$F26,V$5+6&gt;=$E26),"■",""))</x:f>
      </x:c>
      <x:c r="W26" s="42" t="str">
        <x:f>IF(OR($E26="",$F26=""),"",IF(AND(W$5&lt;=$F26,W$5+6&gt;=$E26),"■",""))</x:f>
      </x:c>
      <x:c r="X26" s="42" t="str">
        <x:f>IF(OR($E26="",$F26=""),"",IF(AND(X$5&lt;=$F26,X$5+6&gt;=$E26),"■",""))</x:f>
      </x:c>
      <x:c r="Y26" s="42" t="str">
        <x:f>IF(OR($E26="",$F26=""),"",IF(AND(Y$5&lt;=$F26,Y$5+6&gt;=$E26),"■",""))</x:f>
      </x:c>
      <x:c r="Z26" s="42" t="str">
        <x:f>IF(OR($E26="",$F26=""),"",IF(AND(Z$5&lt;=$F26,Z$5+6&gt;=$E26),"■",""))</x:f>
      </x:c>
      <x:c r="AA26" s="42" t="str">
        <x:f>IF(OR($E26="",$F26=""),"",IF(AND(AA$5&lt;=$F26,AA$5+6&gt;=$E26),"■",""))</x:f>
      </x:c>
      <x:c r="AB26" s="42" t="str">
        <x:f>IF(OR($E26="",$F26=""),"",IF(AND(AB$5&lt;=$F26,AB$5+6&gt;=$E26),"■",""))</x:f>
      </x:c>
      <x:c r="AC26" s="42" t="str">
        <x:f>IF(OR($E26="",$F26=""),"",IF(AND(AC$5&lt;=$F26,AC$5+6&gt;=$E26),"■",""))</x:f>
      </x:c>
      <x:c r="AD26" s="42" t="str">
        <x:f>IF(OR($E26="",$F26=""),"",IF(AND(AD$5&lt;=$F26,AD$5+6&gt;=$E26),"■",""))</x:f>
      </x:c>
      <x:c r="AE26" s="42" t="str">
        <x:f>IF(OR($E26="",$F26=""),"",IF(AND(AE$5&lt;=$F26,AE$5+6&gt;=$E26),"■",""))</x:f>
      </x:c>
      <x:c r="AF26" s="42" t="str">
        <x:f>IF(OR($E26="",$F26=""),"",IF(AND(AF$5&lt;=$F26,AF$5+6&gt;=$E26),"■",""))</x:f>
      </x:c>
      <x:c r="AG26" s="42" t="str">
        <x:f>IF(OR($E26="",$F26=""),"",IF(AND(AG$5&lt;=$F26,AG$5+6&gt;=$E26),"■",""))</x:f>
      </x:c>
      <x:c r="AH26" s="42" t="str">
        <x:f>IF(OR($E26="",$F26=""),"",IF(AND(AH$5&lt;=$F26,AH$5+6&gt;=$E26),"■",""))</x:f>
      </x:c>
      <x:c r="AI26" s="42" t="str">
        <x:f>IF(OR($E26="",$F26=""),"",IF(AND(AI$5&lt;=$F26,AI$5+6&gt;=$E26),"■",""))</x:f>
      </x:c>
      <x:c r="AJ26" s="42" t="str">
        <x:f>IF(OR($E26="",$F26=""),"",IF(AND(AJ$5&lt;=$F26,AJ$5+6&gt;=$E26),"■",""))</x:f>
      </x:c>
      <x:c r="AK26" s="42" t="str">
        <x:f>IF(OR($E26="",$F26=""),"",IF(AND(AK$5&lt;=$F26,AK$5+6&gt;=$E26),"■",""))</x:f>
      </x:c>
    </x:row>
    <x:row r="27" ht="28" customHeight="1">
      <x:c r="A27" s="26" t="str">
        <x:v>ARCH-R3-001</x:v>
      </x:c>
      <x:c r="B27" s="26" t="str">
        <x:v>Search Index &amp; Redating Transaction</x:v>
      </x:c>
      <x:c r="C27" s="26" t="str">
        <x:v>Backlog</x:v>
      </x:c>
      <x:c r="D27" s="26" t="str">
        <x:v>R3</x:v>
      </x:c>
      <x:c r="E27" s="31" t="n">
        <x:v>46307</x:v>
      </x:c>
      <x:c r="F27" s="31" t="n">
        <x:v>46311</x:v>
      </x:c>
      <x:c r="G27" s="42" t="str">
        <x:f>IF(OR($E27="",$F27=""),"",IF(AND(G$5&lt;=$F27,G$5+6&gt;=$E27),"■",""))</x:f>
      </x:c>
      <x:c r="H27" s="42" t="str">
        <x:f>IF(OR($E27="",$F27=""),"",IF(AND(H$5&lt;=$F27,H$5+6&gt;=$E27),"■",""))</x:f>
      </x:c>
      <x:c r="I27" s="42" t="str">
        <x:f>IF(OR($E27="",$F27=""),"",IF(AND(I$5&lt;=$F27,I$5+6&gt;=$E27),"■",""))</x:f>
      </x:c>
      <x:c r="J27" s="42" t="str">
        <x:f>IF(OR($E27="",$F27=""),"",IF(AND(J$5&lt;=$F27,J$5+6&gt;=$E27),"■",""))</x:f>
      </x:c>
      <x:c r="K27" s="42" t="str">
        <x:f>IF(OR($E27="",$F27=""),"",IF(AND(K$5&lt;=$F27,K$5+6&gt;=$E27),"■",""))</x:f>
      </x:c>
      <x:c r="L27" s="42" t="str">
        <x:f>IF(OR($E27="",$F27=""),"",IF(AND(L$5&lt;=$F27,L$5+6&gt;=$E27),"■",""))</x:f>
      </x:c>
      <x:c r="M27" s="42" t="str">
        <x:f>IF(OR($E27="",$F27=""),"",IF(AND(M$5&lt;=$F27,M$5+6&gt;=$E27),"■",""))</x:f>
      </x:c>
      <x:c r="N27" s="42" t="str">
        <x:f>IF(OR($E27="",$F27=""),"",IF(AND(N$5&lt;=$F27,N$5+6&gt;=$E27),"■",""))</x:f>
      </x:c>
      <x:c r="O27" s="42" t="str">
        <x:f>IF(OR($E27="",$F27=""),"",IF(AND(O$5&lt;=$F27,O$5+6&gt;=$E27),"■",""))</x:f>
        <x:v>■</x:v>
      </x:c>
      <x:c r="P27" s="42" t="str">
        <x:f>IF(OR($E27="",$F27=""),"",IF(AND(P$5&lt;=$F27,P$5+6&gt;=$E27),"■",""))</x:f>
      </x:c>
      <x:c r="Q27" s="42" t="str">
        <x:f>IF(OR($E27="",$F27=""),"",IF(AND(Q$5&lt;=$F27,Q$5+6&gt;=$E27),"■",""))</x:f>
      </x:c>
      <x:c r="R27" s="42" t="str">
        <x:f>IF(OR($E27="",$F27=""),"",IF(AND(R$5&lt;=$F27,R$5+6&gt;=$E27),"■",""))</x:f>
      </x:c>
      <x:c r="S27" s="42" t="str">
        <x:f>IF(OR($E27="",$F27=""),"",IF(AND(S$5&lt;=$F27,S$5+6&gt;=$E27),"■",""))</x:f>
      </x:c>
      <x:c r="T27" s="42" t="str">
        <x:f>IF(OR($E27="",$F27=""),"",IF(AND(T$5&lt;=$F27,T$5+6&gt;=$E27),"■",""))</x:f>
      </x:c>
      <x:c r="U27" s="42" t="str">
        <x:f>IF(OR($E27="",$F27=""),"",IF(AND(U$5&lt;=$F27,U$5+6&gt;=$E27),"■",""))</x:f>
      </x:c>
      <x:c r="V27" s="42" t="str">
        <x:f>IF(OR($E27="",$F27=""),"",IF(AND(V$5&lt;=$F27,V$5+6&gt;=$E27),"■",""))</x:f>
      </x:c>
      <x:c r="W27" s="42" t="str">
        <x:f>IF(OR($E27="",$F27=""),"",IF(AND(W$5&lt;=$F27,W$5+6&gt;=$E27),"■",""))</x:f>
      </x:c>
      <x:c r="X27" s="42" t="str">
        <x:f>IF(OR($E27="",$F27=""),"",IF(AND(X$5&lt;=$F27,X$5+6&gt;=$E27),"■",""))</x:f>
      </x:c>
      <x:c r="Y27" s="42" t="str">
        <x:f>IF(OR($E27="",$F27=""),"",IF(AND(Y$5&lt;=$F27,Y$5+6&gt;=$E27),"■",""))</x:f>
      </x:c>
      <x:c r="Z27" s="42" t="str">
        <x:f>IF(OR($E27="",$F27=""),"",IF(AND(Z$5&lt;=$F27,Z$5+6&gt;=$E27),"■",""))</x:f>
      </x:c>
      <x:c r="AA27" s="42" t="str">
        <x:f>IF(OR($E27="",$F27=""),"",IF(AND(AA$5&lt;=$F27,AA$5+6&gt;=$E27),"■",""))</x:f>
      </x:c>
      <x:c r="AB27" s="42" t="str">
        <x:f>IF(OR($E27="",$F27=""),"",IF(AND(AB$5&lt;=$F27,AB$5+6&gt;=$E27),"■",""))</x:f>
      </x:c>
      <x:c r="AC27" s="42" t="str">
        <x:f>IF(OR($E27="",$F27=""),"",IF(AND(AC$5&lt;=$F27,AC$5+6&gt;=$E27),"■",""))</x:f>
      </x:c>
      <x:c r="AD27" s="42" t="str">
        <x:f>IF(OR($E27="",$F27=""),"",IF(AND(AD$5&lt;=$F27,AD$5+6&gt;=$E27),"■",""))</x:f>
      </x:c>
      <x:c r="AE27" s="42" t="str">
        <x:f>IF(OR($E27="",$F27=""),"",IF(AND(AE$5&lt;=$F27,AE$5+6&gt;=$E27),"■",""))</x:f>
      </x:c>
      <x:c r="AF27" s="42" t="str">
        <x:f>IF(OR($E27="",$F27=""),"",IF(AND(AF$5&lt;=$F27,AF$5+6&gt;=$E27),"■",""))</x:f>
      </x:c>
      <x:c r="AG27" s="42" t="str">
        <x:f>IF(OR($E27="",$F27=""),"",IF(AND(AG$5&lt;=$F27,AG$5+6&gt;=$E27),"■",""))</x:f>
      </x:c>
      <x:c r="AH27" s="42" t="str">
        <x:f>IF(OR($E27="",$F27=""),"",IF(AND(AH$5&lt;=$F27,AH$5+6&gt;=$E27),"■",""))</x:f>
      </x:c>
      <x:c r="AI27" s="42" t="str">
        <x:f>IF(OR($E27="",$F27=""),"",IF(AND(AI$5&lt;=$F27,AI$5+6&gt;=$E27),"■",""))</x:f>
      </x:c>
      <x:c r="AJ27" s="42" t="str">
        <x:f>IF(OR($E27="",$F27=""),"",IF(AND(AJ$5&lt;=$F27,AJ$5+6&gt;=$E27),"■",""))</x:f>
      </x:c>
      <x:c r="AK27" s="42" t="str">
        <x:f>IF(OR($E27="",$F27=""),"",IF(AND(AK$5&lt;=$F27,AK$5+6&gt;=$E27),"■",""))</x:f>
      </x:c>
    </x:row>
    <x:row r="28" ht="28" customHeight="1">
      <x:c r="A28" s="26" t="str">
        <x:v>ENG-R3-001</x:v>
      </x:c>
      <x:c r="B28" s="26" t="str">
        <x:v>Timeline/Search/Date Review/Redating</x:v>
      </x:c>
      <x:c r="C28" s="26" t="str">
        <x:v>Backlog</x:v>
      </x:c>
      <x:c r="D28" s="26" t="str">
        <x:v>R3</x:v>
      </x:c>
      <x:c r="E28" s="31" t="n">
        <x:v>46310</x:v>
      </x:c>
      <x:c r="F28" s="31" t="n">
        <x:v>46323</x:v>
      </x:c>
      <x:c r="G28" s="42" t="str">
        <x:f>IF(OR($E28="",$F28=""),"",IF(AND(G$5&lt;=$F28,G$5+6&gt;=$E28),"■",""))</x:f>
      </x:c>
      <x:c r="H28" s="42" t="str">
        <x:f>IF(OR($E28="",$F28=""),"",IF(AND(H$5&lt;=$F28,H$5+6&gt;=$E28),"■",""))</x:f>
      </x:c>
      <x:c r="I28" s="42" t="str">
        <x:f>IF(OR($E28="",$F28=""),"",IF(AND(I$5&lt;=$F28,I$5+6&gt;=$E28),"■",""))</x:f>
      </x:c>
      <x:c r="J28" s="42" t="str">
        <x:f>IF(OR($E28="",$F28=""),"",IF(AND(J$5&lt;=$F28,J$5+6&gt;=$E28),"■",""))</x:f>
      </x:c>
      <x:c r="K28" s="42" t="str">
        <x:f>IF(OR($E28="",$F28=""),"",IF(AND(K$5&lt;=$F28,K$5+6&gt;=$E28),"■",""))</x:f>
      </x:c>
      <x:c r="L28" s="42" t="str">
        <x:f>IF(OR($E28="",$F28=""),"",IF(AND(L$5&lt;=$F28,L$5+6&gt;=$E28),"■",""))</x:f>
      </x:c>
      <x:c r="M28" s="42" t="str">
        <x:f>IF(OR($E28="",$F28=""),"",IF(AND(M$5&lt;=$F28,M$5+6&gt;=$E28),"■",""))</x:f>
      </x:c>
      <x:c r="N28" s="42" t="str">
        <x:f>IF(OR($E28="",$F28=""),"",IF(AND(N$5&lt;=$F28,N$5+6&gt;=$E28),"■",""))</x:f>
      </x:c>
      <x:c r="O28" s="42" t="str">
        <x:f>IF(OR($E28="",$F28=""),"",IF(AND(O$5&lt;=$F28,O$5+6&gt;=$E28),"■",""))</x:f>
        <x:v>■</x:v>
      </x:c>
      <x:c r="P28" s="42" t="str">
        <x:f>IF(OR($E28="",$F28=""),"",IF(AND(P$5&lt;=$F28,P$5+6&gt;=$E28),"■",""))</x:f>
        <x:v>■</x:v>
      </x:c>
      <x:c r="Q28" s="42" t="str">
        <x:f>IF(OR($E28="",$F28=""),"",IF(AND(Q$5&lt;=$F28,Q$5+6&gt;=$E28),"■",""))</x:f>
        <x:v>■</x:v>
      </x:c>
      <x:c r="R28" s="42" t="str">
        <x:f>IF(OR($E28="",$F28=""),"",IF(AND(R$5&lt;=$F28,R$5+6&gt;=$E28),"■",""))</x:f>
      </x:c>
      <x:c r="S28" s="42" t="str">
        <x:f>IF(OR($E28="",$F28=""),"",IF(AND(S$5&lt;=$F28,S$5+6&gt;=$E28),"■",""))</x:f>
      </x:c>
      <x:c r="T28" s="42" t="str">
        <x:f>IF(OR($E28="",$F28=""),"",IF(AND(T$5&lt;=$F28,T$5+6&gt;=$E28),"■",""))</x:f>
      </x:c>
      <x:c r="U28" s="42" t="str">
        <x:f>IF(OR($E28="",$F28=""),"",IF(AND(U$5&lt;=$F28,U$5+6&gt;=$E28),"■",""))</x:f>
      </x:c>
      <x:c r="V28" s="42" t="str">
        <x:f>IF(OR($E28="",$F28=""),"",IF(AND(V$5&lt;=$F28,V$5+6&gt;=$E28),"■",""))</x:f>
      </x:c>
      <x:c r="W28" s="42" t="str">
        <x:f>IF(OR($E28="",$F28=""),"",IF(AND(W$5&lt;=$F28,W$5+6&gt;=$E28),"■",""))</x:f>
      </x:c>
      <x:c r="X28" s="42" t="str">
        <x:f>IF(OR($E28="",$F28=""),"",IF(AND(X$5&lt;=$F28,X$5+6&gt;=$E28),"■",""))</x:f>
      </x:c>
      <x:c r="Y28" s="42" t="str">
        <x:f>IF(OR($E28="",$F28=""),"",IF(AND(Y$5&lt;=$F28,Y$5+6&gt;=$E28),"■",""))</x:f>
      </x:c>
      <x:c r="Z28" s="42" t="str">
        <x:f>IF(OR($E28="",$F28=""),"",IF(AND(Z$5&lt;=$F28,Z$5+6&gt;=$E28),"■",""))</x:f>
      </x:c>
      <x:c r="AA28" s="42" t="str">
        <x:f>IF(OR($E28="",$F28=""),"",IF(AND(AA$5&lt;=$F28,AA$5+6&gt;=$E28),"■",""))</x:f>
      </x:c>
      <x:c r="AB28" s="42" t="str">
        <x:f>IF(OR($E28="",$F28=""),"",IF(AND(AB$5&lt;=$F28,AB$5+6&gt;=$E28),"■",""))</x:f>
      </x:c>
      <x:c r="AC28" s="42" t="str">
        <x:f>IF(OR($E28="",$F28=""),"",IF(AND(AC$5&lt;=$F28,AC$5+6&gt;=$E28),"■",""))</x:f>
      </x:c>
      <x:c r="AD28" s="42" t="str">
        <x:f>IF(OR($E28="",$F28=""),"",IF(AND(AD$5&lt;=$F28,AD$5+6&gt;=$E28),"■",""))</x:f>
      </x:c>
      <x:c r="AE28" s="42" t="str">
        <x:f>IF(OR($E28="",$F28=""),"",IF(AND(AE$5&lt;=$F28,AE$5+6&gt;=$E28),"■",""))</x:f>
      </x:c>
      <x:c r="AF28" s="42" t="str">
        <x:f>IF(OR($E28="",$F28=""),"",IF(AND(AF$5&lt;=$F28,AF$5+6&gt;=$E28),"■",""))</x:f>
      </x:c>
      <x:c r="AG28" s="42" t="str">
        <x:f>IF(OR($E28="",$F28=""),"",IF(AND(AG$5&lt;=$F28,AG$5+6&gt;=$E28),"■",""))</x:f>
      </x:c>
      <x:c r="AH28" s="42" t="str">
        <x:f>IF(OR($E28="",$F28=""),"",IF(AND(AH$5&lt;=$F28,AH$5+6&gt;=$E28),"■",""))</x:f>
      </x:c>
      <x:c r="AI28" s="42" t="str">
        <x:f>IF(OR($E28="",$F28=""),"",IF(AND(AI$5&lt;=$F28,AI$5+6&gt;=$E28),"■",""))</x:f>
      </x:c>
      <x:c r="AJ28" s="42" t="str">
        <x:f>IF(OR($E28="",$F28=""),"",IF(AND(AJ$5&lt;=$F28,AJ$5+6&gt;=$E28),"■",""))</x:f>
      </x:c>
      <x:c r="AK28" s="42" t="str">
        <x:f>IF(OR($E28="",$F28=""),"",IF(AND(AK$5&lt;=$F28,AK$5+6&gt;=$E28),"■",""))</x:f>
      </x:c>
    </x:row>
    <x:row r="29" ht="28" customHeight="1">
      <x:c r="A29" s="26" t="str">
        <x:v>REL-R3-001</x:v>
      </x:c>
      <x:c r="B29" s="26" t="str">
        <x:v>Query Privacy &amp; Date Atomicity Acceptance</x:v>
      </x:c>
      <x:c r="C29" s="26" t="str">
        <x:v>Backlog</x:v>
      </x:c>
      <x:c r="D29" s="26" t="str">
        <x:v>R3</x:v>
      </x:c>
      <x:c r="E29" s="31" t="n">
        <x:v>46324</x:v>
      </x:c>
      <x:c r="F29" s="31" t="n">
        <x:v>46325</x:v>
      </x:c>
      <x:c r="G29" s="42" t="str">
        <x:f>IF(OR($E29="",$F29=""),"",IF(AND(G$5&lt;=$F29,G$5+6&gt;=$E29),"■",""))</x:f>
      </x:c>
      <x:c r="H29" s="42" t="str">
        <x:f>IF(OR($E29="",$F29=""),"",IF(AND(H$5&lt;=$F29,H$5+6&gt;=$E29),"■",""))</x:f>
      </x:c>
      <x:c r="I29" s="42" t="str">
        <x:f>IF(OR($E29="",$F29=""),"",IF(AND(I$5&lt;=$F29,I$5+6&gt;=$E29),"■",""))</x:f>
      </x:c>
      <x:c r="J29" s="42" t="str">
        <x:f>IF(OR($E29="",$F29=""),"",IF(AND(J$5&lt;=$F29,J$5+6&gt;=$E29),"■",""))</x:f>
      </x:c>
      <x:c r="K29" s="42" t="str">
        <x:f>IF(OR($E29="",$F29=""),"",IF(AND(K$5&lt;=$F29,K$5+6&gt;=$E29),"■",""))</x:f>
      </x:c>
      <x:c r="L29" s="42" t="str">
        <x:f>IF(OR($E29="",$F29=""),"",IF(AND(L$5&lt;=$F29,L$5+6&gt;=$E29),"■",""))</x:f>
      </x:c>
      <x:c r="M29" s="42" t="str">
        <x:f>IF(OR($E29="",$F29=""),"",IF(AND(M$5&lt;=$F29,M$5+6&gt;=$E29),"■",""))</x:f>
      </x:c>
      <x:c r="N29" s="42" t="str">
        <x:f>IF(OR($E29="",$F29=""),"",IF(AND(N$5&lt;=$F29,N$5+6&gt;=$E29),"■",""))</x:f>
      </x:c>
      <x:c r="O29" s="42" t="str">
        <x:f>IF(OR($E29="",$F29=""),"",IF(AND(O$5&lt;=$F29,O$5+6&gt;=$E29),"■",""))</x:f>
      </x:c>
      <x:c r="P29" s="42" t="str">
        <x:f>IF(OR($E29="",$F29=""),"",IF(AND(P$5&lt;=$F29,P$5+6&gt;=$E29),"■",""))</x:f>
      </x:c>
      <x:c r="Q29" s="42" t="str">
        <x:f>IF(OR($E29="",$F29=""),"",IF(AND(Q$5&lt;=$F29,Q$5+6&gt;=$E29),"■",""))</x:f>
        <x:v>■</x:v>
      </x:c>
      <x:c r="R29" s="42" t="str">
        <x:f>IF(OR($E29="",$F29=""),"",IF(AND(R$5&lt;=$F29,R$5+6&gt;=$E29),"■",""))</x:f>
      </x:c>
      <x:c r="S29" s="42" t="str">
        <x:f>IF(OR($E29="",$F29=""),"",IF(AND(S$5&lt;=$F29,S$5+6&gt;=$E29),"■",""))</x:f>
      </x:c>
      <x:c r="T29" s="42" t="str">
        <x:f>IF(OR($E29="",$F29=""),"",IF(AND(T$5&lt;=$F29,T$5+6&gt;=$E29),"■",""))</x:f>
      </x:c>
      <x:c r="U29" s="42" t="str">
        <x:f>IF(OR($E29="",$F29=""),"",IF(AND(U$5&lt;=$F29,U$5+6&gt;=$E29),"■",""))</x:f>
      </x:c>
      <x:c r="V29" s="42" t="str">
        <x:f>IF(OR($E29="",$F29=""),"",IF(AND(V$5&lt;=$F29,V$5+6&gt;=$E29),"■",""))</x:f>
      </x:c>
      <x:c r="W29" s="42" t="str">
        <x:f>IF(OR($E29="",$F29=""),"",IF(AND(W$5&lt;=$F29,W$5+6&gt;=$E29),"■",""))</x:f>
      </x:c>
      <x:c r="X29" s="42" t="str">
        <x:f>IF(OR($E29="",$F29=""),"",IF(AND(X$5&lt;=$F29,X$5+6&gt;=$E29),"■",""))</x:f>
      </x:c>
      <x:c r="Y29" s="42" t="str">
        <x:f>IF(OR($E29="",$F29=""),"",IF(AND(Y$5&lt;=$F29,Y$5+6&gt;=$E29),"■",""))</x:f>
      </x:c>
      <x:c r="Z29" s="42" t="str">
        <x:f>IF(OR($E29="",$F29=""),"",IF(AND(Z$5&lt;=$F29,Z$5+6&gt;=$E29),"■",""))</x:f>
      </x:c>
      <x:c r="AA29" s="42" t="str">
        <x:f>IF(OR($E29="",$F29=""),"",IF(AND(AA$5&lt;=$F29,AA$5+6&gt;=$E29),"■",""))</x:f>
      </x:c>
      <x:c r="AB29" s="42" t="str">
        <x:f>IF(OR($E29="",$F29=""),"",IF(AND(AB$5&lt;=$F29,AB$5+6&gt;=$E29),"■",""))</x:f>
      </x:c>
      <x:c r="AC29" s="42" t="str">
        <x:f>IF(OR($E29="",$F29=""),"",IF(AND(AC$5&lt;=$F29,AC$5+6&gt;=$E29),"■",""))</x:f>
      </x:c>
      <x:c r="AD29" s="42" t="str">
        <x:f>IF(OR($E29="",$F29=""),"",IF(AND(AD$5&lt;=$F29,AD$5+6&gt;=$E29),"■",""))</x:f>
      </x:c>
      <x:c r="AE29" s="42" t="str">
        <x:f>IF(OR($E29="",$F29=""),"",IF(AND(AE$5&lt;=$F29,AE$5+6&gt;=$E29),"■",""))</x:f>
      </x:c>
      <x:c r="AF29" s="42" t="str">
        <x:f>IF(OR($E29="",$F29=""),"",IF(AND(AF$5&lt;=$F29,AF$5+6&gt;=$E29),"■",""))</x:f>
      </x:c>
      <x:c r="AG29" s="42" t="str">
        <x:f>IF(OR($E29="",$F29=""),"",IF(AND(AG$5&lt;=$F29,AG$5+6&gt;=$E29),"■",""))</x:f>
      </x:c>
      <x:c r="AH29" s="42" t="str">
        <x:f>IF(OR($E29="",$F29=""),"",IF(AND(AH$5&lt;=$F29,AH$5+6&gt;=$E29),"■",""))</x:f>
      </x:c>
      <x:c r="AI29" s="42" t="str">
        <x:f>IF(OR($E29="",$F29=""),"",IF(AND(AI$5&lt;=$F29,AI$5+6&gt;=$E29),"■",""))</x:f>
      </x:c>
      <x:c r="AJ29" s="42" t="str">
        <x:f>IF(OR($E29="",$F29=""),"",IF(AND(AJ$5&lt;=$F29,AJ$5+6&gt;=$E29),"■",""))</x:f>
      </x:c>
      <x:c r="AK29" s="42" t="str">
        <x:f>IF(OR($E29="",$F29=""),"",IF(AND(AK$5&lt;=$F29,AK$5+6&gt;=$E29),"■",""))</x:f>
      </x:c>
    </x:row>
    <x:row r="30" ht="28" customHeight="1">
      <x:c r="A30" s="26" t="str">
        <x:v>PRD-R4-001</x:v>
      </x:c>
      <x:c r="B30" s="26" t="str">
        <x:v>Lifecycle PRD</x:v>
      </x:c>
      <x:c r="C30" s="26" t="str">
        <x:v>Done</x:v>
      </x:c>
      <x:c r="D30" s="26" t="str">
        <x:v>R4</x:v>
      </x:c>
      <x:c r="E30" s="31" t="n">
        <x:v>46328</x:v>
      </x:c>
      <x:c r="F30" s="31" t="n">
        <x:v>46330</x:v>
      </x:c>
      <x:c r="G30" s="42" t="str">
        <x:f>IF(OR($E30="",$F30=""),"",IF(AND(G$5&lt;=$F30,G$5+6&gt;=$E30),"■",""))</x:f>
      </x:c>
      <x:c r="H30" s="42" t="str">
        <x:f>IF(OR($E30="",$F30=""),"",IF(AND(H$5&lt;=$F30,H$5+6&gt;=$E30),"■",""))</x:f>
      </x:c>
      <x:c r="I30" s="42" t="str">
        <x:f>IF(OR($E30="",$F30=""),"",IF(AND(I$5&lt;=$F30,I$5+6&gt;=$E30),"■",""))</x:f>
      </x:c>
      <x:c r="J30" s="42" t="str">
        <x:f>IF(OR($E30="",$F30=""),"",IF(AND(J$5&lt;=$F30,J$5+6&gt;=$E30),"■",""))</x:f>
      </x:c>
      <x:c r="K30" s="42" t="str">
        <x:f>IF(OR($E30="",$F30=""),"",IF(AND(K$5&lt;=$F30,K$5+6&gt;=$E30),"■",""))</x:f>
      </x:c>
      <x:c r="L30" s="42" t="str">
        <x:f>IF(OR($E30="",$F30=""),"",IF(AND(L$5&lt;=$F30,L$5+6&gt;=$E30),"■",""))</x:f>
      </x:c>
      <x:c r="M30" s="42" t="str">
        <x:f>IF(OR($E30="",$F30=""),"",IF(AND(M$5&lt;=$F30,M$5+6&gt;=$E30),"■",""))</x:f>
      </x:c>
      <x:c r="N30" s="42" t="str">
        <x:f>IF(OR($E30="",$F30=""),"",IF(AND(N$5&lt;=$F30,N$5+6&gt;=$E30),"■",""))</x:f>
      </x:c>
      <x:c r="O30" s="42" t="str">
        <x:f>IF(OR($E30="",$F30=""),"",IF(AND(O$5&lt;=$F30,O$5+6&gt;=$E30),"■",""))</x:f>
      </x:c>
      <x:c r="P30" s="42" t="str">
        <x:f>IF(OR($E30="",$F30=""),"",IF(AND(P$5&lt;=$F30,P$5+6&gt;=$E30),"■",""))</x:f>
      </x:c>
      <x:c r="Q30" s="42" t="str">
        <x:f>IF(OR($E30="",$F30=""),"",IF(AND(Q$5&lt;=$F30,Q$5+6&gt;=$E30),"■",""))</x:f>
      </x:c>
      <x:c r="R30" s="42" t="str">
        <x:f>IF(OR($E30="",$F30=""),"",IF(AND(R$5&lt;=$F30,R$5+6&gt;=$E30),"■",""))</x:f>
        <x:v>■</x:v>
      </x:c>
      <x:c r="S30" s="42" t="str">
        <x:f>IF(OR($E30="",$F30=""),"",IF(AND(S$5&lt;=$F30,S$5+6&gt;=$E30),"■",""))</x:f>
      </x:c>
      <x:c r="T30" s="42" t="str">
        <x:f>IF(OR($E30="",$F30=""),"",IF(AND(T$5&lt;=$F30,T$5+6&gt;=$E30),"■",""))</x:f>
      </x:c>
      <x:c r="U30" s="42" t="str">
        <x:f>IF(OR($E30="",$F30=""),"",IF(AND(U$5&lt;=$F30,U$5+6&gt;=$E30),"■",""))</x:f>
      </x:c>
      <x:c r="V30" s="42" t="str">
        <x:f>IF(OR($E30="",$F30=""),"",IF(AND(V$5&lt;=$F30,V$5+6&gt;=$E30),"■",""))</x:f>
      </x:c>
      <x:c r="W30" s="42" t="str">
        <x:f>IF(OR($E30="",$F30=""),"",IF(AND(W$5&lt;=$F30,W$5+6&gt;=$E30),"■",""))</x:f>
      </x:c>
      <x:c r="X30" s="42" t="str">
        <x:f>IF(OR($E30="",$F30=""),"",IF(AND(X$5&lt;=$F30,X$5+6&gt;=$E30),"■",""))</x:f>
      </x:c>
      <x:c r="Y30" s="42" t="str">
        <x:f>IF(OR($E30="",$F30=""),"",IF(AND(Y$5&lt;=$F30,Y$5+6&gt;=$E30),"■",""))</x:f>
      </x:c>
      <x:c r="Z30" s="42" t="str">
        <x:f>IF(OR($E30="",$F30=""),"",IF(AND(Z$5&lt;=$F30,Z$5+6&gt;=$E30),"■",""))</x:f>
      </x:c>
      <x:c r="AA30" s="42" t="str">
        <x:f>IF(OR($E30="",$F30=""),"",IF(AND(AA$5&lt;=$F30,AA$5+6&gt;=$E30),"■",""))</x:f>
      </x:c>
      <x:c r="AB30" s="42" t="str">
        <x:f>IF(OR($E30="",$F30=""),"",IF(AND(AB$5&lt;=$F30,AB$5+6&gt;=$E30),"■",""))</x:f>
      </x:c>
      <x:c r="AC30" s="42" t="str">
        <x:f>IF(OR($E30="",$F30=""),"",IF(AND(AC$5&lt;=$F30,AC$5+6&gt;=$E30),"■",""))</x:f>
      </x:c>
      <x:c r="AD30" s="42" t="str">
        <x:f>IF(OR($E30="",$F30=""),"",IF(AND(AD$5&lt;=$F30,AD$5+6&gt;=$E30),"■",""))</x:f>
      </x:c>
      <x:c r="AE30" s="42" t="str">
        <x:f>IF(OR($E30="",$F30=""),"",IF(AND(AE$5&lt;=$F30,AE$5+6&gt;=$E30),"■",""))</x:f>
      </x:c>
      <x:c r="AF30" s="42" t="str">
        <x:f>IF(OR($E30="",$F30=""),"",IF(AND(AF$5&lt;=$F30,AF$5+6&gt;=$E30),"■",""))</x:f>
      </x:c>
      <x:c r="AG30" s="42" t="str">
        <x:f>IF(OR($E30="",$F30=""),"",IF(AND(AG$5&lt;=$F30,AG$5+6&gt;=$E30),"■",""))</x:f>
      </x:c>
      <x:c r="AH30" s="42" t="str">
        <x:f>IF(OR($E30="",$F30=""),"",IF(AND(AH$5&lt;=$F30,AH$5+6&gt;=$E30),"■",""))</x:f>
      </x:c>
      <x:c r="AI30" s="42" t="str">
        <x:f>IF(OR($E30="",$F30=""),"",IF(AND(AI$5&lt;=$F30,AI$5+6&gt;=$E30),"■",""))</x:f>
      </x:c>
      <x:c r="AJ30" s="42" t="str">
        <x:f>IF(OR($E30="",$F30=""),"",IF(AND(AJ$5&lt;=$F30,AJ$5+6&gt;=$E30),"■",""))</x:f>
      </x:c>
      <x:c r="AK30" s="42" t="str">
        <x:f>IF(OR($E30="",$F30=""),"",IF(AND(AK$5&lt;=$F30,AK$5+6&gt;=$E30),"■",""))</x:f>
      </x:c>
    </x:row>
    <x:row r="31" ht="28" customHeight="1">
      <x:c r="A31" s="26" t="str">
        <x:v>UX-R4-001</x:v>
      </x:c>
      <x:c r="B31" s="26" t="str">
        <x:v>Diff/History/Trash/Export Designs</x:v>
      </x:c>
      <x:c r="C31" s="26" t="str">
        <x:v>Backlog</x:v>
      </x:c>
      <x:c r="D31" s="26" t="str">
        <x:v>R4</x:v>
      </x:c>
      <x:c r="E31" s="31" t="n">
        <x:v>46328</x:v>
      </x:c>
      <x:c r="F31" s="31" t="n">
        <x:v>46332</x:v>
      </x:c>
      <x:c r="G31" s="42" t="str">
        <x:f>IF(OR($E31="",$F31=""),"",IF(AND(G$5&lt;=$F31,G$5+6&gt;=$E31),"■",""))</x:f>
      </x:c>
      <x:c r="H31" s="42" t="str">
        <x:f>IF(OR($E31="",$F31=""),"",IF(AND(H$5&lt;=$F31,H$5+6&gt;=$E31),"■",""))</x:f>
      </x:c>
      <x:c r="I31" s="42" t="str">
        <x:f>IF(OR($E31="",$F31=""),"",IF(AND(I$5&lt;=$F31,I$5+6&gt;=$E31),"■",""))</x:f>
      </x:c>
      <x:c r="J31" s="42" t="str">
        <x:f>IF(OR($E31="",$F31=""),"",IF(AND(J$5&lt;=$F31,J$5+6&gt;=$E31),"■",""))</x:f>
      </x:c>
      <x:c r="K31" s="42" t="str">
        <x:f>IF(OR($E31="",$F31=""),"",IF(AND(K$5&lt;=$F31,K$5+6&gt;=$E31),"■",""))</x:f>
      </x:c>
      <x:c r="L31" s="42" t="str">
        <x:f>IF(OR($E31="",$F31=""),"",IF(AND(L$5&lt;=$F31,L$5+6&gt;=$E31),"■",""))</x:f>
      </x:c>
      <x:c r="M31" s="42" t="str">
        <x:f>IF(OR($E31="",$F31=""),"",IF(AND(M$5&lt;=$F31,M$5+6&gt;=$E31),"■",""))</x:f>
      </x:c>
      <x:c r="N31" s="42" t="str">
        <x:f>IF(OR($E31="",$F31=""),"",IF(AND(N$5&lt;=$F31,N$5+6&gt;=$E31),"■",""))</x:f>
      </x:c>
      <x:c r="O31" s="42" t="str">
        <x:f>IF(OR($E31="",$F31=""),"",IF(AND(O$5&lt;=$F31,O$5+6&gt;=$E31),"■",""))</x:f>
      </x:c>
      <x:c r="P31" s="42" t="str">
        <x:f>IF(OR($E31="",$F31=""),"",IF(AND(P$5&lt;=$F31,P$5+6&gt;=$E31),"■",""))</x:f>
      </x:c>
      <x:c r="Q31" s="42" t="str">
        <x:f>IF(OR($E31="",$F31=""),"",IF(AND(Q$5&lt;=$F31,Q$5+6&gt;=$E31),"■",""))</x:f>
      </x:c>
      <x:c r="R31" s="42" t="str">
        <x:f>IF(OR($E31="",$F31=""),"",IF(AND(R$5&lt;=$F31,R$5+6&gt;=$E31),"■",""))</x:f>
        <x:v>■</x:v>
      </x:c>
      <x:c r="S31" s="42" t="str">
        <x:f>IF(OR($E31="",$F31=""),"",IF(AND(S$5&lt;=$F31,S$5+6&gt;=$E31),"■",""))</x:f>
      </x:c>
      <x:c r="T31" s="42" t="str">
        <x:f>IF(OR($E31="",$F31=""),"",IF(AND(T$5&lt;=$F31,T$5+6&gt;=$E31),"■",""))</x:f>
      </x:c>
      <x:c r="U31" s="42" t="str">
        <x:f>IF(OR($E31="",$F31=""),"",IF(AND(U$5&lt;=$F31,U$5+6&gt;=$E31),"■",""))</x:f>
      </x:c>
      <x:c r="V31" s="42" t="str">
        <x:f>IF(OR($E31="",$F31=""),"",IF(AND(V$5&lt;=$F31,V$5+6&gt;=$E31),"■",""))</x:f>
      </x:c>
      <x:c r="W31" s="42" t="str">
        <x:f>IF(OR($E31="",$F31=""),"",IF(AND(W$5&lt;=$F31,W$5+6&gt;=$E31),"■",""))</x:f>
      </x:c>
      <x:c r="X31" s="42" t="str">
        <x:f>IF(OR($E31="",$F31=""),"",IF(AND(X$5&lt;=$F31,X$5+6&gt;=$E31),"■",""))</x:f>
      </x:c>
      <x:c r="Y31" s="42" t="str">
        <x:f>IF(OR($E31="",$F31=""),"",IF(AND(Y$5&lt;=$F31,Y$5+6&gt;=$E31),"■",""))</x:f>
      </x:c>
      <x:c r="Z31" s="42" t="str">
        <x:f>IF(OR($E31="",$F31=""),"",IF(AND(Z$5&lt;=$F31,Z$5+6&gt;=$E31),"■",""))</x:f>
      </x:c>
      <x:c r="AA31" s="42" t="str">
        <x:f>IF(OR($E31="",$F31=""),"",IF(AND(AA$5&lt;=$F31,AA$5+6&gt;=$E31),"■",""))</x:f>
      </x:c>
      <x:c r="AB31" s="42" t="str">
        <x:f>IF(OR($E31="",$F31=""),"",IF(AND(AB$5&lt;=$F31,AB$5+6&gt;=$E31),"■",""))</x:f>
      </x:c>
      <x:c r="AC31" s="42" t="str">
        <x:f>IF(OR($E31="",$F31=""),"",IF(AND(AC$5&lt;=$F31,AC$5+6&gt;=$E31),"■",""))</x:f>
      </x:c>
      <x:c r="AD31" s="42" t="str">
        <x:f>IF(OR($E31="",$F31=""),"",IF(AND(AD$5&lt;=$F31,AD$5+6&gt;=$E31),"■",""))</x:f>
      </x:c>
      <x:c r="AE31" s="42" t="str">
        <x:f>IF(OR($E31="",$F31=""),"",IF(AND(AE$5&lt;=$F31,AE$5+6&gt;=$E31),"■",""))</x:f>
      </x:c>
      <x:c r="AF31" s="42" t="str">
        <x:f>IF(OR($E31="",$F31=""),"",IF(AND(AF$5&lt;=$F31,AF$5+6&gt;=$E31),"■",""))</x:f>
      </x:c>
      <x:c r="AG31" s="42" t="str">
        <x:f>IF(OR($E31="",$F31=""),"",IF(AND(AG$5&lt;=$F31,AG$5+6&gt;=$E31),"■",""))</x:f>
      </x:c>
      <x:c r="AH31" s="42" t="str">
        <x:f>IF(OR($E31="",$F31=""),"",IF(AND(AH$5&lt;=$F31,AH$5+6&gt;=$E31),"■",""))</x:f>
      </x:c>
      <x:c r="AI31" s="42" t="str">
        <x:f>IF(OR($E31="",$F31=""),"",IF(AND(AI$5&lt;=$F31,AI$5+6&gt;=$E31),"■",""))</x:f>
      </x:c>
      <x:c r="AJ31" s="42" t="str">
        <x:f>IF(OR($E31="",$F31=""),"",IF(AND(AJ$5&lt;=$F31,AJ$5+6&gt;=$E31),"■",""))</x:f>
      </x:c>
      <x:c r="AK31" s="42" t="str">
        <x:f>IF(OR($E31="",$F31=""),"",IF(AND(AK$5&lt;=$F31,AK$5+6&gt;=$E31),"■",""))</x:f>
      </x:c>
    </x:row>
    <x:row r="32" ht="28" customHeight="1">
      <x:c r="A32" s="26" t="str">
        <x:v>ARCH-R4-001</x:v>
      </x:c>
      <x:c r="B32" s="26" t="str">
        <x:v>Revision/Suppression/Export Lifecycle</x:v>
      </x:c>
      <x:c r="C32" s="26" t="str">
        <x:v>Backlog</x:v>
      </x:c>
      <x:c r="D32" s="26" t="str">
        <x:v>R4</x:v>
      </x:c>
      <x:c r="E32" s="31" t="n">
        <x:v>46328</x:v>
      </x:c>
      <x:c r="F32" s="31" t="n">
        <x:v>46332</x:v>
      </x:c>
      <x:c r="G32" s="42" t="str">
        <x:f>IF(OR($E32="",$F32=""),"",IF(AND(G$5&lt;=$F32,G$5+6&gt;=$E32),"■",""))</x:f>
      </x:c>
      <x:c r="H32" s="42" t="str">
        <x:f>IF(OR($E32="",$F32=""),"",IF(AND(H$5&lt;=$F32,H$5+6&gt;=$E32),"■",""))</x:f>
      </x:c>
      <x:c r="I32" s="42" t="str">
        <x:f>IF(OR($E32="",$F32=""),"",IF(AND(I$5&lt;=$F32,I$5+6&gt;=$E32),"■",""))</x:f>
      </x:c>
      <x:c r="J32" s="42" t="str">
        <x:f>IF(OR($E32="",$F32=""),"",IF(AND(J$5&lt;=$F32,J$5+6&gt;=$E32),"■",""))</x:f>
      </x:c>
      <x:c r="K32" s="42" t="str">
        <x:f>IF(OR($E32="",$F32=""),"",IF(AND(K$5&lt;=$F32,K$5+6&gt;=$E32),"■",""))</x:f>
      </x:c>
      <x:c r="L32" s="42" t="str">
        <x:f>IF(OR($E32="",$F32=""),"",IF(AND(L$5&lt;=$F32,L$5+6&gt;=$E32),"■",""))</x:f>
      </x:c>
      <x:c r="M32" s="42" t="str">
        <x:f>IF(OR($E32="",$F32=""),"",IF(AND(M$5&lt;=$F32,M$5+6&gt;=$E32),"■",""))</x:f>
      </x:c>
      <x:c r="N32" s="42" t="str">
        <x:f>IF(OR($E32="",$F32=""),"",IF(AND(N$5&lt;=$F32,N$5+6&gt;=$E32),"■",""))</x:f>
      </x:c>
      <x:c r="O32" s="42" t="str">
        <x:f>IF(OR($E32="",$F32=""),"",IF(AND(O$5&lt;=$F32,O$5+6&gt;=$E32),"■",""))</x:f>
      </x:c>
      <x:c r="P32" s="42" t="str">
        <x:f>IF(OR($E32="",$F32=""),"",IF(AND(P$5&lt;=$F32,P$5+6&gt;=$E32),"■",""))</x:f>
      </x:c>
      <x:c r="Q32" s="42" t="str">
        <x:f>IF(OR($E32="",$F32=""),"",IF(AND(Q$5&lt;=$F32,Q$5+6&gt;=$E32),"■",""))</x:f>
      </x:c>
      <x:c r="R32" s="42" t="str">
        <x:f>IF(OR($E32="",$F32=""),"",IF(AND(R$5&lt;=$F32,R$5+6&gt;=$E32),"■",""))</x:f>
        <x:v>■</x:v>
      </x:c>
      <x:c r="S32" s="42" t="str">
        <x:f>IF(OR($E32="",$F32=""),"",IF(AND(S$5&lt;=$F32,S$5+6&gt;=$E32),"■",""))</x:f>
      </x:c>
      <x:c r="T32" s="42" t="str">
        <x:f>IF(OR($E32="",$F32=""),"",IF(AND(T$5&lt;=$F32,T$5+6&gt;=$E32),"■",""))</x:f>
      </x:c>
      <x:c r="U32" s="42" t="str">
        <x:f>IF(OR($E32="",$F32=""),"",IF(AND(U$5&lt;=$F32,U$5+6&gt;=$E32),"■",""))</x:f>
      </x:c>
      <x:c r="V32" s="42" t="str">
        <x:f>IF(OR($E32="",$F32=""),"",IF(AND(V$5&lt;=$F32,V$5+6&gt;=$E32),"■",""))</x:f>
      </x:c>
      <x:c r="W32" s="42" t="str">
        <x:f>IF(OR($E32="",$F32=""),"",IF(AND(W$5&lt;=$F32,W$5+6&gt;=$E32),"■",""))</x:f>
      </x:c>
      <x:c r="X32" s="42" t="str">
        <x:f>IF(OR($E32="",$F32=""),"",IF(AND(X$5&lt;=$F32,X$5+6&gt;=$E32),"■",""))</x:f>
      </x:c>
      <x:c r="Y32" s="42" t="str">
        <x:f>IF(OR($E32="",$F32=""),"",IF(AND(Y$5&lt;=$F32,Y$5+6&gt;=$E32),"■",""))</x:f>
      </x:c>
      <x:c r="Z32" s="42" t="str">
        <x:f>IF(OR($E32="",$F32=""),"",IF(AND(Z$5&lt;=$F32,Z$5+6&gt;=$E32),"■",""))</x:f>
      </x:c>
      <x:c r="AA32" s="42" t="str">
        <x:f>IF(OR($E32="",$F32=""),"",IF(AND(AA$5&lt;=$F32,AA$5+6&gt;=$E32),"■",""))</x:f>
      </x:c>
      <x:c r="AB32" s="42" t="str">
        <x:f>IF(OR($E32="",$F32=""),"",IF(AND(AB$5&lt;=$F32,AB$5+6&gt;=$E32),"■",""))</x:f>
      </x:c>
      <x:c r="AC32" s="42" t="str">
        <x:f>IF(OR($E32="",$F32=""),"",IF(AND(AC$5&lt;=$F32,AC$5+6&gt;=$E32),"■",""))</x:f>
      </x:c>
      <x:c r="AD32" s="42" t="str">
        <x:f>IF(OR($E32="",$F32=""),"",IF(AND(AD$5&lt;=$F32,AD$5+6&gt;=$E32),"■",""))</x:f>
      </x:c>
      <x:c r="AE32" s="42" t="str">
        <x:f>IF(OR($E32="",$F32=""),"",IF(AND(AE$5&lt;=$F32,AE$5+6&gt;=$E32),"■",""))</x:f>
      </x:c>
      <x:c r="AF32" s="42" t="str">
        <x:f>IF(OR($E32="",$F32=""),"",IF(AND(AF$5&lt;=$F32,AF$5+6&gt;=$E32),"■",""))</x:f>
      </x:c>
      <x:c r="AG32" s="42" t="str">
        <x:f>IF(OR($E32="",$F32=""),"",IF(AND(AG$5&lt;=$F32,AG$5+6&gt;=$E32),"■",""))</x:f>
      </x:c>
      <x:c r="AH32" s="42" t="str">
        <x:f>IF(OR($E32="",$F32=""),"",IF(AND(AH$5&lt;=$F32,AH$5+6&gt;=$E32),"■",""))</x:f>
      </x:c>
      <x:c r="AI32" s="42" t="str">
        <x:f>IF(OR($E32="",$F32=""),"",IF(AND(AI$5&lt;=$F32,AI$5+6&gt;=$E32),"■",""))</x:f>
      </x:c>
      <x:c r="AJ32" s="42" t="str">
        <x:f>IF(OR($E32="",$F32=""),"",IF(AND(AJ$5&lt;=$F32,AJ$5+6&gt;=$E32),"■",""))</x:f>
      </x:c>
      <x:c r="AK32" s="42" t="str">
        <x:f>IF(OR($E32="",$F32=""),"",IF(AND(AK$5&lt;=$F32,AK$5+6&gt;=$E32),"■",""))</x:f>
      </x:c>
    </x:row>
    <x:row r="33" ht="28" customHeight="1">
      <x:c r="A33" s="26" t="str">
        <x:v>ENG-R4-001</x:v>
      </x:c>
      <x:c r="B33" s="26" t="str">
        <x:v>Corrections/Conflict/History</x:v>
      </x:c>
      <x:c r="C33" s="26" t="str">
        <x:v>Backlog</x:v>
      </x:c>
      <x:c r="D33" s="26" t="str">
        <x:v>R4</x:v>
      </x:c>
      <x:c r="E33" s="31" t="n">
        <x:v>46331</x:v>
      </x:c>
      <x:c r="F33" s="31" t="n">
        <x:v>46339</x:v>
      </x:c>
      <x:c r="G33" s="42" t="str">
        <x:f>IF(OR($E33="",$F33=""),"",IF(AND(G$5&lt;=$F33,G$5+6&gt;=$E33),"■",""))</x:f>
      </x:c>
      <x:c r="H33" s="42" t="str">
        <x:f>IF(OR($E33="",$F33=""),"",IF(AND(H$5&lt;=$F33,H$5+6&gt;=$E33),"■",""))</x:f>
      </x:c>
      <x:c r="I33" s="42" t="str">
        <x:f>IF(OR($E33="",$F33=""),"",IF(AND(I$5&lt;=$F33,I$5+6&gt;=$E33),"■",""))</x:f>
      </x:c>
      <x:c r="J33" s="42" t="str">
        <x:f>IF(OR($E33="",$F33=""),"",IF(AND(J$5&lt;=$F33,J$5+6&gt;=$E33),"■",""))</x:f>
      </x:c>
      <x:c r="K33" s="42" t="str">
        <x:f>IF(OR($E33="",$F33=""),"",IF(AND(K$5&lt;=$F33,K$5+6&gt;=$E33),"■",""))</x:f>
      </x:c>
      <x:c r="L33" s="42" t="str">
        <x:f>IF(OR($E33="",$F33=""),"",IF(AND(L$5&lt;=$F33,L$5+6&gt;=$E33),"■",""))</x:f>
      </x:c>
      <x:c r="M33" s="42" t="str">
        <x:f>IF(OR($E33="",$F33=""),"",IF(AND(M$5&lt;=$F33,M$5+6&gt;=$E33),"■",""))</x:f>
      </x:c>
      <x:c r="N33" s="42" t="str">
        <x:f>IF(OR($E33="",$F33=""),"",IF(AND(N$5&lt;=$F33,N$5+6&gt;=$E33),"■",""))</x:f>
      </x:c>
      <x:c r="O33" s="42" t="str">
        <x:f>IF(OR($E33="",$F33=""),"",IF(AND(O$5&lt;=$F33,O$5+6&gt;=$E33),"■",""))</x:f>
      </x:c>
      <x:c r="P33" s="42" t="str">
        <x:f>IF(OR($E33="",$F33=""),"",IF(AND(P$5&lt;=$F33,P$5+6&gt;=$E33),"■",""))</x:f>
      </x:c>
      <x:c r="Q33" s="42" t="str">
        <x:f>IF(OR($E33="",$F33=""),"",IF(AND(Q$5&lt;=$F33,Q$5+6&gt;=$E33),"■",""))</x:f>
      </x:c>
      <x:c r="R33" s="42" t="str">
        <x:f>IF(OR($E33="",$F33=""),"",IF(AND(R$5&lt;=$F33,R$5+6&gt;=$E33),"■",""))</x:f>
        <x:v>■</x:v>
      </x:c>
      <x:c r="S33" s="42" t="str">
        <x:f>IF(OR($E33="",$F33=""),"",IF(AND(S$5&lt;=$F33,S$5+6&gt;=$E33),"■",""))</x:f>
        <x:v>■</x:v>
      </x:c>
      <x:c r="T33" s="42" t="str">
        <x:f>IF(OR($E33="",$F33=""),"",IF(AND(T$5&lt;=$F33,T$5+6&gt;=$E33),"■",""))</x:f>
      </x:c>
      <x:c r="U33" s="42" t="str">
        <x:f>IF(OR($E33="",$F33=""),"",IF(AND(U$5&lt;=$F33,U$5+6&gt;=$E33),"■",""))</x:f>
      </x:c>
      <x:c r="V33" s="42" t="str">
        <x:f>IF(OR($E33="",$F33=""),"",IF(AND(V$5&lt;=$F33,V$5+6&gt;=$E33),"■",""))</x:f>
      </x:c>
      <x:c r="W33" s="42" t="str">
        <x:f>IF(OR($E33="",$F33=""),"",IF(AND(W$5&lt;=$F33,W$5+6&gt;=$E33),"■",""))</x:f>
      </x:c>
      <x:c r="X33" s="42" t="str">
        <x:f>IF(OR($E33="",$F33=""),"",IF(AND(X$5&lt;=$F33,X$5+6&gt;=$E33),"■",""))</x:f>
      </x:c>
      <x:c r="Y33" s="42" t="str">
        <x:f>IF(OR($E33="",$F33=""),"",IF(AND(Y$5&lt;=$F33,Y$5+6&gt;=$E33),"■",""))</x:f>
      </x:c>
      <x:c r="Z33" s="42" t="str">
        <x:f>IF(OR($E33="",$F33=""),"",IF(AND(Z$5&lt;=$F33,Z$5+6&gt;=$E33),"■",""))</x:f>
      </x:c>
      <x:c r="AA33" s="42" t="str">
        <x:f>IF(OR($E33="",$F33=""),"",IF(AND(AA$5&lt;=$F33,AA$5+6&gt;=$E33),"■",""))</x:f>
      </x:c>
      <x:c r="AB33" s="42" t="str">
        <x:f>IF(OR($E33="",$F33=""),"",IF(AND(AB$5&lt;=$F33,AB$5+6&gt;=$E33),"■",""))</x:f>
      </x:c>
      <x:c r="AC33" s="42" t="str">
        <x:f>IF(OR($E33="",$F33=""),"",IF(AND(AC$5&lt;=$F33,AC$5+6&gt;=$E33),"■",""))</x:f>
      </x:c>
      <x:c r="AD33" s="42" t="str">
        <x:f>IF(OR($E33="",$F33=""),"",IF(AND(AD$5&lt;=$F33,AD$5+6&gt;=$E33),"■",""))</x:f>
      </x:c>
      <x:c r="AE33" s="42" t="str">
        <x:f>IF(OR($E33="",$F33=""),"",IF(AND(AE$5&lt;=$F33,AE$5+6&gt;=$E33),"■",""))</x:f>
      </x:c>
      <x:c r="AF33" s="42" t="str">
        <x:f>IF(OR($E33="",$F33=""),"",IF(AND(AF$5&lt;=$F33,AF$5+6&gt;=$E33),"■",""))</x:f>
      </x:c>
      <x:c r="AG33" s="42" t="str">
        <x:f>IF(OR($E33="",$F33=""),"",IF(AND(AG$5&lt;=$F33,AG$5+6&gt;=$E33),"■",""))</x:f>
      </x:c>
      <x:c r="AH33" s="42" t="str">
        <x:f>IF(OR($E33="",$F33=""),"",IF(AND(AH$5&lt;=$F33,AH$5+6&gt;=$E33),"■",""))</x:f>
      </x:c>
      <x:c r="AI33" s="42" t="str">
        <x:f>IF(OR($E33="",$F33=""),"",IF(AND(AI$5&lt;=$F33,AI$5+6&gt;=$E33),"■",""))</x:f>
      </x:c>
      <x:c r="AJ33" s="42" t="str">
        <x:f>IF(OR($E33="",$F33=""),"",IF(AND(AJ$5&lt;=$F33,AJ$5+6&gt;=$E33),"■",""))</x:f>
      </x:c>
      <x:c r="AK33" s="42" t="str">
        <x:f>IF(OR($E33="",$F33=""),"",IF(AND(AK$5&lt;=$F33,AK$5+6&gt;=$E33),"■",""))</x:f>
      </x:c>
    </x:row>
    <x:row r="34" ht="28" customHeight="1">
      <x:c r="A34" s="26" t="str">
        <x:v>ENG-R4-002</x:v>
      </x:c>
      <x:c r="B34" s="26" t="str">
        <x:v>Trash/Suppressions/Export</x:v>
      </x:c>
      <x:c r="C34" s="26" t="str">
        <x:v>Backlog</x:v>
      </x:c>
      <x:c r="D34" s="26" t="str">
        <x:v>R4</x:v>
      </x:c>
      <x:c r="E34" s="31" t="n">
        <x:v>46335</x:v>
      </x:c>
      <x:c r="F34" s="31" t="n">
        <x:v>46344</x:v>
      </x:c>
      <x:c r="G34" s="42" t="str">
        <x:f>IF(OR($E34="",$F34=""),"",IF(AND(G$5&lt;=$F34,G$5+6&gt;=$E34),"■",""))</x:f>
      </x:c>
      <x:c r="H34" s="42" t="str">
        <x:f>IF(OR($E34="",$F34=""),"",IF(AND(H$5&lt;=$F34,H$5+6&gt;=$E34),"■",""))</x:f>
      </x:c>
      <x:c r="I34" s="42" t="str">
        <x:f>IF(OR($E34="",$F34=""),"",IF(AND(I$5&lt;=$F34,I$5+6&gt;=$E34),"■",""))</x:f>
      </x:c>
      <x:c r="J34" s="42" t="str">
        <x:f>IF(OR($E34="",$F34=""),"",IF(AND(J$5&lt;=$F34,J$5+6&gt;=$E34),"■",""))</x:f>
      </x:c>
      <x:c r="K34" s="42" t="str">
        <x:f>IF(OR($E34="",$F34=""),"",IF(AND(K$5&lt;=$F34,K$5+6&gt;=$E34),"■",""))</x:f>
      </x:c>
      <x:c r="L34" s="42" t="str">
        <x:f>IF(OR($E34="",$F34=""),"",IF(AND(L$5&lt;=$F34,L$5+6&gt;=$E34),"■",""))</x:f>
      </x:c>
      <x:c r="M34" s="42" t="str">
        <x:f>IF(OR($E34="",$F34=""),"",IF(AND(M$5&lt;=$F34,M$5+6&gt;=$E34),"■",""))</x:f>
      </x:c>
      <x:c r="N34" s="42" t="str">
        <x:f>IF(OR($E34="",$F34=""),"",IF(AND(N$5&lt;=$F34,N$5+6&gt;=$E34),"■",""))</x:f>
      </x:c>
      <x:c r="O34" s="42" t="str">
        <x:f>IF(OR($E34="",$F34=""),"",IF(AND(O$5&lt;=$F34,O$5+6&gt;=$E34),"■",""))</x:f>
      </x:c>
      <x:c r="P34" s="42" t="str">
        <x:f>IF(OR($E34="",$F34=""),"",IF(AND(P$5&lt;=$F34,P$5+6&gt;=$E34),"■",""))</x:f>
      </x:c>
      <x:c r="Q34" s="42" t="str">
        <x:f>IF(OR($E34="",$F34=""),"",IF(AND(Q$5&lt;=$F34,Q$5+6&gt;=$E34),"■",""))</x:f>
      </x:c>
      <x:c r="R34" s="42" t="str">
        <x:f>IF(OR($E34="",$F34=""),"",IF(AND(R$5&lt;=$F34,R$5+6&gt;=$E34),"■",""))</x:f>
      </x:c>
      <x:c r="S34" s="42" t="str">
        <x:f>IF(OR($E34="",$F34=""),"",IF(AND(S$5&lt;=$F34,S$5+6&gt;=$E34),"■",""))</x:f>
        <x:v>■</x:v>
      </x:c>
      <x:c r="T34" s="42" t="str">
        <x:f>IF(OR($E34="",$F34=""),"",IF(AND(T$5&lt;=$F34,T$5+6&gt;=$E34),"■",""))</x:f>
        <x:v>■</x:v>
      </x:c>
      <x:c r="U34" s="42" t="str">
        <x:f>IF(OR($E34="",$F34=""),"",IF(AND(U$5&lt;=$F34,U$5+6&gt;=$E34),"■",""))</x:f>
      </x:c>
      <x:c r="V34" s="42" t="str">
        <x:f>IF(OR($E34="",$F34=""),"",IF(AND(V$5&lt;=$F34,V$5+6&gt;=$E34),"■",""))</x:f>
      </x:c>
      <x:c r="W34" s="42" t="str">
        <x:f>IF(OR($E34="",$F34=""),"",IF(AND(W$5&lt;=$F34,W$5+6&gt;=$E34),"■",""))</x:f>
      </x:c>
      <x:c r="X34" s="42" t="str">
        <x:f>IF(OR($E34="",$F34=""),"",IF(AND(X$5&lt;=$F34,X$5+6&gt;=$E34),"■",""))</x:f>
      </x:c>
      <x:c r="Y34" s="42" t="str">
        <x:f>IF(OR($E34="",$F34=""),"",IF(AND(Y$5&lt;=$F34,Y$5+6&gt;=$E34),"■",""))</x:f>
      </x:c>
      <x:c r="Z34" s="42" t="str">
        <x:f>IF(OR($E34="",$F34=""),"",IF(AND(Z$5&lt;=$F34,Z$5+6&gt;=$E34),"■",""))</x:f>
      </x:c>
      <x:c r="AA34" s="42" t="str">
        <x:f>IF(OR($E34="",$F34=""),"",IF(AND(AA$5&lt;=$F34,AA$5+6&gt;=$E34),"■",""))</x:f>
      </x:c>
      <x:c r="AB34" s="42" t="str">
        <x:f>IF(OR($E34="",$F34=""),"",IF(AND(AB$5&lt;=$F34,AB$5+6&gt;=$E34),"■",""))</x:f>
      </x:c>
      <x:c r="AC34" s="42" t="str">
        <x:f>IF(OR($E34="",$F34=""),"",IF(AND(AC$5&lt;=$F34,AC$5+6&gt;=$E34),"■",""))</x:f>
      </x:c>
      <x:c r="AD34" s="42" t="str">
        <x:f>IF(OR($E34="",$F34=""),"",IF(AND(AD$5&lt;=$F34,AD$5+6&gt;=$E34),"■",""))</x:f>
      </x:c>
      <x:c r="AE34" s="42" t="str">
        <x:f>IF(OR($E34="",$F34=""),"",IF(AND(AE$5&lt;=$F34,AE$5+6&gt;=$E34),"■",""))</x:f>
      </x:c>
      <x:c r="AF34" s="42" t="str">
        <x:f>IF(OR($E34="",$F34=""),"",IF(AND(AF$5&lt;=$F34,AF$5+6&gt;=$E34),"■",""))</x:f>
      </x:c>
      <x:c r="AG34" s="42" t="str">
        <x:f>IF(OR($E34="",$F34=""),"",IF(AND(AG$5&lt;=$F34,AG$5+6&gt;=$E34),"■",""))</x:f>
      </x:c>
      <x:c r="AH34" s="42" t="str">
        <x:f>IF(OR($E34="",$F34=""),"",IF(AND(AH$5&lt;=$F34,AH$5+6&gt;=$E34),"■",""))</x:f>
      </x:c>
      <x:c r="AI34" s="42" t="str">
        <x:f>IF(OR($E34="",$F34=""),"",IF(AND(AI$5&lt;=$F34,AI$5+6&gt;=$E34),"■",""))</x:f>
      </x:c>
      <x:c r="AJ34" s="42" t="str">
        <x:f>IF(OR($E34="",$F34=""),"",IF(AND(AJ$5&lt;=$F34,AJ$5+6&gt;=$E34),"■",""))</x:f>
      </x:c>
      <x:c r="AK34" s="42" t="str">
        <x:f>IF(OR($E34="",$F34=""),"",IF(AND(AK$5&lt;=$F34,AK$5+6&gt;=$E34),"■",""))</x:f>
      </x:c>
    </x:row>
    <x:row r="35" ht="28" customHeight="1">
      <x:c r="A35" s="26" t="str">
        <x:v>REL-R4-001</x:v>
      </x:c>
      <x:c r="B35" s="26" t="str">
        <x:v>Lifecycle/Export Restore Acceptance</x:v>
      </x:c>
      <x:c r="C35" s="26" t="str">
        <x:v>Backlog</x:v>
      </x:c>
      <x:c r="D35" s="26" t="str">
        <x:v>R4</x:v>
      </x:c>
      <x:c r="E35" s="31" t="n">
        <x:v>46345</x:v>
      </x:c>
      <x:c r="F35" s="31" t="n">
        <x:v>46346</x:v>
      </x:c>
      <x:c r="G35" s="42" t="str">
        <x:f>IF(OR($E35="",$F35=""),"",IF(AND(G$5&lt;=$F35,G$5+6&gt;=$E35),"■",""))</x:f>
      </x:c>
      <x:c r="H35" s="42" t="str">
        <x:f>IF(OR($E35="",$F35=""),"",IF(AND(H$5&lt;=$F35,H$5+6&gt;=$E35),"■",""))</x:f>
      </x:c>
      <x:c r="I35" s="42" t="str">
        <x:f>IF(OR($E35="",$F35=""),"",IF(AND(I$5&lt;=$F35,I$5+6&gt;=$E35),"■",""))</x:f>
      </x:c>
      <x:c r="J35" s="42" t="str">
        <x:f>IF(OR($E35="",$F35=""),"",IF(AND(J$5&lt;=$F35,J$5+6&gt;=$E35),"■",""))</x:f>
      </x:c>
      <x:c r="K35" s="42" t="str">
        <x:f>IF(OR($E35="",$F35=""),"",IF(AND(K$5&lt;=$F35,K$5+6&gt;=$E35),"■",""))</x:f>
      </x:c>
      <x:c r="L35" s="42" t="str">
        <x:f>IF(OR($E35="",$F35=""),"",IF(AND(L$5&lt;=$F35,L$5+6&gt;=$E35),"■",""))</x:f>
      </x:c>
      <x:c r="M35" s="42" t="str">
        <x:f>IF(OR($E35="",$F35=""),"",IF(AND(M$5&lt;=$F35,M$5+6&gt;=$E35),"■",""))</x:f>
      </x:c>
      <x:c r="N35" s="42" t="str">
        <x:f>IF(OR($E35="",$F35=""),"",IF(AND(N$5&lt;=$F35,N$5+6&gt;=$E35),"■",""))</x:f>
      </x:c>
      <x:c r="O35" s="42" t="str">
        <x:f>IF(OR($E35="",$F35=""),"",IF(AND(O$5&lt;=$F35,O$5+6&gt;=$E35),"■",""))</x:f>
      </x:c>
      <x:c r="P35" s="42" t="str">
        <x:f>IF(OR($E35="",$F35=""),"",IF(AND(P$5&lt;=$F35,P$5+6&gt;=$E35),"■",""))</x:f>
      </x:c>
      <x:c r="Q35" s="42" t="str">
        <x:f>IF(OR($E35="",$F35=""),"",IF(AND(Q$5&lt;=$F35,Q$5+6&gt;=$E35),"■",""))</x:f>
      </x:c>
      <x:c r="R35" s="42" t="str">
        <x:f>IF(OR($E35="",$F35=""),"",IF(AND(R$5&lt;=$F35,R$5+6&gt;=$E35),"■",""))</x:f>
      </x:c>
      <x:c r="S35" s="42" t="str">
        <x:f>IF(OR($E35="",$F35=""),"",IF(AND(S$5&lt;=$F35,S$5+6&gt;=$E35),"■",""))</x:f>
      </x:c>
      <x:c r="T35" s="42" t="str">
        <x:f>IF(OR($E35="",$F35=""),"",IF(AND(T$5&lt;=$F35,T$5+6&gt;=$E35),"■",""))</x:f>
        <x:v>■</x:v>
      </x:c>
      <x:c r="U35" s="42" t="str">
        <x:f>IF(OR($E35="",$F35=""),"",IF(AND(U$5&lt;=$F35,U$5+6&gt;=$E35),"■",""))</x:f>
      </x:c>
      <x:c r="V35" s="42" t="str">
        <x:f>IF(OR($E35="",$F35=""),"",IF(AND(V$5&lt;=$F35,V$5+6&gt;=$E35),"■",""))</x:f>
      </x:c>
      <x:c r="W35" s="42" t="str">
        <x:f>IF(OR($E35="",$F35=""),"",IF(AND(W$5&lt;=$F35,W$5+6&gt;=$E35),"■",""))</x:f>
      </x:c>
      <x:c r="X35" s="42" t="str">
        <x:f>IF(OR($E35="",$F35=""),"",IF(AND(X$5&lt;=$F35,X$5+6&gt;=$E35),"■",""))</x:f>
      </x:c>
      <x:c r="Y35" s="42" t="str">
        <x:f>IF(OR($E35="",$F35=""),"",IF(AND(Y$5&lt;=$F35,Y$5+6&gt;=$E35),"■",""))</x:f>
      </x:c>
      <x:c r="Z35" s="42" t="str">
        <x:f>IF(OR($E35="",$F35=""),"",IF(AND(Z$5&lt;=$F35,Z$5+6&gt;=$E35),"■",""))</x:f>
      </x:c>
      <x:c r="AA35" s="42" t="str">
        <x:f>IF(OR($E35="",$F35=""),"",IF(AND(AA$5&lt;=$F35,AA$5+6&gt;=$E35),"■",""))</x:f>
      </x:c>
      <x:c r="AB35" s="42" t="str">
        <x:f>IF(OR($E35="",$F35=""),"",IF(AND(AB$5&lt;=$F35,AB$5+6&gt;=$E35),"■",""))</x:f>
      </x:c>
      <x:c r="AC35" s="42" t="str">
        <x:f>IF(OR($E35="",$F35=""),"",IF(AND(AC$5&lt;=$F35,AC$5+6&gt;=$E35),"■",""))</x:f>
      </x:c>
      <x:c r="AD35" s="42" t="str">
        <x:f>IF(OR($E35="",$F35=""),"",IF(AND(AD$5&lt;=$F35,AD$5+6&gt;=$E35),"■",""))</x:f>
      </x:c>
      <x:c r="AE35" s="42" t="str">
        <x:f>IF(OR($E35="",$F35=""),"",IF(AND(AE$5&lt;=$F35,AE$5+6&gt;=$E35),"■",""))</x:f>
      </x:c>
      <x:c r="AF35" s="42" t="str">
        <x:f>IF(OR($E35="",$F35=""),"",IF(AND(AF$5&lt;=$F35,AF$5+6&gt;=$E35),"■",""))</x:f>
      </x:c>
      <x:c r="AG35" s="42" t="str">
        <x:f>IF(OR($E35="",$F35=""),"",IF(AND(AG$5&lt;=$F35,AG$5+6&gt;=$E35),"■",""))</x:f>
      </x:c>
      <x:c r="AH35" s="42" t="str">
        <x:f>IF(OR($E35="",$F35=""),"",IF(AND(AH$5&lt;=$F35,AH$5+6&gt;=$E35),"■",""))</x:f>
      </x:c>
      <x:c r="AI35" s="42" t="str">
        <x:f>IF(OR($E35="",$F35=""),"",IF(AND(AI$5&lt;=$F35,AI$5+6&gt;=$E35),"■",""))</x:f>
      </x:c>
      <x:c r="AJ35" s="42" t="str">
        <x:f>IF(OR($E35="",$F35=""),"",IF(AND(AJ$5&lt;=$F35,AJ$5+6&gt;=$E35),"■",""))</x:f>
      </x:c>
      <x:c r="AK35" s="42" t="str">
        <x:f>IF(OR($E35="",$F35=""),"",IF(AND(AK$5&lt;=$F35,AK$5+6&gt;=$E35),"■",""))</x:f>
      </x:c>
    </x:row>
    <x:row r="36" ht="28" customHeight="1">
      <x:c r="A36" s="26" t="str">
        <x:v>SPK-R5-001</x:v>
      </x:c>
      <x:c r="B36" s="26" t="str">
        <x:v>VoiceNotes Synthetic Contract Spike</x:v>
      </x:c>
      <x:c r="C36" s="26" t="str">
        <x:v>Backlog</x:v>
      </x:c>
      <x:c r="D36" s="26" t="str">
        <x:v>R5</x:v>
      </x:c>
      <x:c r="E36" s="31" t="n">
        <x:v>46349</x:v>
      </x:c>
      <x:c r="F36" s="31" t="n">
        <x:v>46351</x:v>
      </x:c>
      <x:c r="G36" s="42" t="str">
        <x:f>IF(OR($E36="",$F36=""),"",IF(AND(G$5&lt;=$F36,G$5+6&gt;=$E36),"■",""))</x:f>
      </x:c>
      <x:c r="H36" s="42" t="str">
        <x:f>IF(OR($E36="",$F36=""),"",IF(AND(H$5&lt;=$F36,H$5+6&gt;=$E36),"■",""))</x:f>
      </x:c>
      <x:c r="I36" s="42" t="str">
        <x:f>IF(OR($E36="",$F36=""),"",IF(AND(I$5&lt;=$F36,I$5+6&gt;=$E36),"■",""))</x:f>
      </x:c>
      <x:c r="J36" s="42" t="str">
        <x:f>IF(OR($E36="",$F36=""),"",IF(AND(J$5&lt;=$F36,J$5+6&gt;=$E36),"■",""))</x:f>
      </x:c>
      <x:c r="K36" s="42" t="str">
        <x:f>IF(OR($E36="",$F36=""),"",IF(AND(K$5&lt;=$F36,K$5+6&gt;=$E36),"■",""))</x:f>
      </x:c>
      <x:c r="L36" s="42" t="str">
        <x:f>IF(OR($E36="",$F36=""),"",IF(AND(L$5&lt;=$F36,L$5+6&gt;=$E36),"■",""))</x:f>
      </x:c>
      <x:c r="M36" s="42" t="str">
        <x:f>IF(OR($E36="",$F36=""),"",IF(AND(M$5&lt;=$F36,M$5+6&gt;=$E36),"■",""))</x:f>
      </x:c>
      <x:c r="N36" s="42" t="str">
        <x:f>IF(OR($E36="",$F36=""),"",IF(AND(N$5&lt;=$F36,N$5+6&gt;=$E36),"■",""))</x:f>
      </x:c>
      <x:c r="O36" s="42" t="str">
        <x:f>IF(OR($E36="",$F36=""),"",IF(AND(O$5&lt;=$F36,O$5+6&gt;=$E36),"■",""))</x:f>
      </x:c>
      <x:c r="P36" s="42" t="str">
        <x:f>IF(OR($E36="",$F36=""),"",IF(AND(P$5&lt;=$F36,P$5+6&gt;=$E36),"■",""))</x:f>
      </x:c>
      <x:c r="Q36" s="42" t="str">
        <x:f>IF(OR($E36="",$F36=""),"",IF(AND(Q$5&lt;=$F36,Q$5+6&gt;=$E36),"■",""))</x:f>
      </x:c>
      <x:c r="R36" s="42" t="str">
        <x:f>IF(OR($E36="",$F36=""),"",IF(AND(R$5&lt;=$F36,R$5+6&gt;=$E36),"■",""))</x:f>
      </x:c>
      <x:c r="S36" s="42" t="str">
        <x:f>IF(OR($E36="",$F36=""),"",IF(AND(S$5&lt;=$F36,S$5+6&gt;=$E36),"■",""))</x:f>
      </x:c>
      <x:c r="T36" s="42" t="str">
        <x:f>IF(OR($E36="",$F36=""),"",IF(AND(T$5&lt;=$F36,T$5+6&gt;=$E36),"■",""))</x:f>
      </x:c>
      <x:c r="U36" s="42" t="str">
        <x:f>IF(OR($E36="",$F36=""),"",IF(AND(U$5&lt;=$F36,U$5+6&gt;=$E36),"■",""))</x:f>
        <x:v>■</x:v>
      </x:c>
      <x:c r="V36" s="42" t="str">
        <x:f>IF(OR($E36="",$F36=""),"",IF(AND(V$5&lt;=$F36,V$5+6&gt;=$E36),"■",""))</x:f>
      </x:c>
      <x:c r="W36" s="42" t="str">
        <x:f>IF(OR($E36="",$F36=""),"",IF(AND(W$5&lt;=$F36,W$5+6&gt;=$E36),"■",""))</x:f>
      </x:c>
      <x:c r="X36" s="42" t="str">
        <x:f>IF(OR($E36="",$F36=""),"",IF(AND(X$5&lt;=$F36,X$5+6&gt;=$E36),"■",""))</x:f>
      </x:c>
      <x:c r="Y36" s="42" t="str">
        <x:f>IF(OR($E36="",$F36=""),"",IF(AND(Y$5&lt;=$F36,Y$5+6&gt;=$E36),"■",""))</x:f>
      </x:c>
      <x:c r="Z36" s="42" t="str">
        <x:f>IF(OR($E36="",$F36=""),"",IF(AND(Z$5&lt;=$F36,Z$5+6&gt;=$E36),"■",""))</x:f>
      </x:c>
      <x:c r="AA36" s="42" t="str">
        <x:f>IF(OR($E36="",$F36=""),"",IF(AND(AA$5&lt;=$F36,AA$5+6&gt;=$E36),"■",""))</x:f>
      </x:c>
      <x:c r="AB36" s="42" t="str">
        <x:f>IF(OR($E36="",$F36=""),"",IF(AND(AB$5&lt;=$F36,AB$5+6&gt;=$E36),"■",""))</x:f>
      </x:c>
      <x:c r="AC36" s="42" t="str">
        <x:f>IF(OR($E36="",$F36=""),"",IF(AND(AC$5&lt;=$F36,AC$5+6&gt;=$E36),"■",""))</x:f>
      </x:c>
      <x:c r="AD36" s="42" t="str">
        <x:f>IF(OR($E36="",$F36=""),"",IF(AND(AD$5&lt;=$F36,AD$5+6&gt;=$E36),"■",""))</x:f>
      </x:c>
      <x:c r="AE36" s="42" t="str">
        <x:f>IF(OR($E36="",$F36=""),"",IF(AND(AE$5&lt;=$F36,AE$5+6&gt;=$E36),"■",""))</x:f>
      </x:c>
      <x:c r="AF36" s="42" t="str">
        <x:f>IF(OR($E36="",$F36=""),"",IF(AND(AF$5&lt;=$F36,AF$5+6&gt;=$E36),"■",""))</x:f>
      </x:c>
      <x:c r="AG36" s="42" t="str">
        <x:f>IF(OR($E36="",$F36=""),"",IF(AND(AG$5&lt;=$F36,AG$5+6&gt;=$E36),"■",""))</x:f>
      </x:c>
      <x:c r="AH36" s="42" t="str">
        <x:f>IF(OR($E36="",$F36=""),"",IF(AND(AH$5&lt;=$F36,AH$5+6&gt;=$E36),"■",""))</x:f>
      </x:c>
      <x:c r="AI36" s="42" t="str">
        <x:f>IF(OR($E36="",$F36=""),"",IF(AND(AI$5&lt;=$F36,AI$5+6&gt;=$E36),"■",""))</x:f>
      </x:c>
      <x:c r="AJ36" s="42" t="str">
        <x:f>IF(OR($E36="",$F36=""),"",IF(AND(AJ$5&lt;=$F36,AJ$5+6&gt;=$E36),"■",""))</x:f>
      </x:c>
      <x:c r="AK36" s="42" t="str">
        <x:f>IF(OR($E36="",$F36=""),"",IF(AND(AK$5&lt;=$F36,AK$5+6&gt;=$E36),"■",""))</x:f>
      </x:c>
    </x:row>
    <x:row r="37" ht="28" customHeight="1">
      <x:c r="A37" s="26" t="str">
        <x:v>PRD-R5-001</x:v>
      </x:c>
      <x:c r="B37" s="26" t="str">
        <x:v>VoiceNotes PRD</x:v>
      </x:c>
      <x:c r="C37" s="26" t="str">
        <x:v>Done</x:v>
      </x:c>
      <x:c r="D37" s="26" t="str">
        <x:v>R5</x:v>
      </x:c>
      <x:c r="E37" s="31" t="n">
        <x:v>46349</x:v>
      </x:c>
      <x:c r="F37" s="31" t="n">
        <x:v>46353</x:v>
      </x:c>
      <x:c r="G37" s="42" t="str">
        <x:f>IF(OR($E37="",$F37=""),"",IF(AND(G$5&lt;=$F37,G$5+6&gt;=$E37),"■",""))</x:f>
      </x:c>
      <x:c r="H37" s="42" t="str">
        <x:f>IF(OR($E37="",$F37=""),"",IF(AND(H$5&lt;=$F37,H$5+6&gt;=$E37),"■",""))</x:f>
      </x:c>
      <x:c r="I37" s="42" t="str">
        <x:f>IF(OR($E37="",$F37=""),"",IF(AND(I$5&lt;=$F37,I$5+6&gt;=$E37),"■",""))</x:f>
      </x:c>
      <x:c r="J37" s="42" t="str">
        <x:f>IF(OR($E37="",$F37=""),"",IF(AND(J$5&lt;=$F37,J$5+6&gt;=$E37),"■",""))</x:f>
      </x:c>
      <x:c r="K37" s="42" t="str">
        <x:f>IF(OR($E37="",$F37=""),"",IF(AND(K$5&lt;=$F37,K$5+6&gt;=$E37),"■",""))</x:f>
      </x:c>
      <x:c r="L37" s="42" t="str">
        <x:f>IF(OR($E37="",$F37=""),"",IF(AND(L$5&lt;=$F37,L$5+6&gt;=$E37),"■",""))</x:f>
      </x:c>
      <x:c r="M37" s="42" t="str">
        <x:f>IF(OR($E37="",$F37=""),"",IF(AND(M$5&lt;=$F37,M$5+6&gt;=$E37),"■",""))</x:f>
      </x:c>
      <x:c r="N37" s="42" t="str">
        <x:f>IF(OR($E37="",$F37=""),"",IF(AND(N$5&lt;=$F37,N$5+6&gt;=$E37),"■",""))</x:f>
      </x:c>
      <x:c r="O37" s="42" t="str">
        <x:f>IF(OR($E37="",$F37=""),"",IF(AND(O$5&lt;=$F37,O$5+6&gt;=$E37),"■",""))</x:f>
      </x:c>
      <x:c r="P37" s="42" t="str">
        <x:f>IF(OR($E37="",$F37=""),"",IF(AND(P$5&lt;=$F37,P$5+6&gt;=$E37),"■",""))</x:f>
      </x:c>
      <x:c r="Q37" s="42" t="str">
        <x:f>IF(OR($E37="",$F37=""),"",IF(AND(Q$5&lt;=$F37,Q$5+6&gt;=$E37),"■",""))</x:f>
      </x:c>
      <x:c r="R37" s="42" t="str">
        <x:f>IF(OR($E37="",$F37=""),"",IF(AND(R$5&lt;=$F37,R$5+6&gt;=$E37),"■",""))</x:f>
      </x:c>
      <x:c r="S37" s="42" t="str">
        <x:f>IF(OR($E37="",$F37=""),"",IF(AND(S$5&lt;=$F37,S$5+6&gt;=$E37),"■",""))</x:f>
      </x:c>
      <x:c r="T37" s="42" t="str">
        <x:f>IF(OR($E37="",$F37=""),"",IF(AND(T$5&lt;=$F37,T$5+6&gt;=$E37),"■",""))</x:f>
      </x:c>
      <x:c r="U37" s="42" t="str">
        <x:f>IF(OR($E37="",$F37=""),"",IF(AND(U$5&lt;=$F37,U$5+6&gt;=$E37),"■",""))</x:f>
        <x:v>■</x:v>
      </x:c>
      <x:c r="V37" s="42" t="str">
        <x:f>IF(OR($E37="",$F37=""),"",IF(AND(V$5&lt;=$F37,V$5+6&gt;=$E37),"■",""))</x:f>
      </x:c>
      <x:c r="W37" s="42" t="str">
        <x:f>IF(OR($E37="",$F37=""),"",IF(AND(W$5&lt;=$F37,W$5+6&gt;=$E37),"■",""))</x:f>
      </x:c>
      <x:c r="X37" s="42" t="str">
        <x:f>IF(OR($E37="",$F37=""),"",IF(AND(X$5&lt;=$F37,X$5+6&gt;=$E37),"■",""))</x:f>
      </x:c>
      <x:c r="Y37" s="42" t="str">
        <x:f>IF(OR($E37="",$F37=""),"",IF(AND(Y$5&lt;=$F37,Y$5+6&gt;=$E37),"■",""))</x:f>
      </x:c>
      <x:c r="Z37" s="42" t="str">
        <x:f>IF(OR($E37="",$F37=""),"",IF(AND(Z$5&lt;=$F37,Z$5+6&gt;=$E37),"■",""))</x:f>
      </x:c>
      <x:c r="AA37" s="42" t="str">
        <x:f>IF(OR($E37="",$F37=""),"",IF(AND(AA$5&lt;=$F37,AA$5+6&gt;=$E37),"■",""))</x:f>
      </x:c>
      <x:c r="AB37" s="42" t="str">
        <x:f>IF(OR($E37="",$F37=""),"",IF(AND(AB$5&lt;=$F37,AB$5+6&gt;=$E37),"■",""))</x:f>
      </x:c>
      <x:c r="AC37" s="42" t="str">
        <x:f>IF(OR($E37="",$F37=""),"",IF(AND(AC$5&lt;=$F37,AC$5+6&gt;=$E37),"■",""))</x:f>
      </x:c>
      <x:c r="AD37" s="42" t="str">
        <x:f>IF(OR($E37="",$F37=""),"",IF(AND(AD$5&lt;=$F37,AD$5+6&gt;=$E37),"■",""))</x:f>
      </x:c>
      <x:c r="AE37" s="42" t="str">
        <x:f>IF(OR($E37="",$F37=""),"",IF(AND(AE$5&lt;=$F37,AE$5+6&gt;=$E37),"■",""))</x:f>
      </x:c>
      <x:c r="AF37" s="42" t="str">
        <x:f>IF(OR($E37="",$F37=""),"",IF(AND(AF$5&lt;=$F37,AF$5+6&gt;=$E37),"■",""))</x:f>
      </x:c>
      <x:c r="AG37" s="42" t="str">
        <x:f>IF(OR($E37="",$F37=""),"",IF(AND(AG$5&lt;=$F37,AG$5+6&gt;=$E37),"■",""))</x:f>
      </x:c>
      <x:c r="AH37" s="42" t="str">
        <x:f>IF(OR($E37="",$F37=""),"",IF(AND(AH$5&lt;=$F37,AH$5+6&gt;=$E37),"■",""))</x:f>
      </x:c>
      <x:c r="AI37" s="42" t="str">
        <x:f>IF(OR($E37="",$F37=""),"",IF(AND(AI$5&lt;=$F37,AI$5+6&gt;=$E37),"■",""))</x:f>
      </x:c>
      <x:c r="AJ37" s="42" t="str">
        <x:f>IF(OR($E37="",$F37=""),"",IF(AND(AJ$5&lt;=$F37,AJ$5+6&gt;=$E37),"■",""))</x:f>
      </x:c>
      <x:c r="AK37" s="42" t="str">
        <x:f>IF(OR($E37="",$F37=""),"",IF(AND(AK$5&lt;=$F37,AK$5+6&gt;=$E37),"■",""))</x:f>
      </x:c>
    </x:row>
    <x:row r="38" ht="28" customHeight="1">
      <x:c r="A38" s="26" t="str">
        <x:v>UX-R5-001</x:v>
      </x:c>
      <x:c r="B38" s="26" t="str">
        <x:v>Integration/Reconciliation/Lifecycle Designs</x:v>
      </x:c>
      <x:c r="C38" s="26" t="str">
        <x:v>Backlog</x:v>
      </x:c>
      <x:c r="D38" s="26" t="str">
        <x:v>R5</x:v>
      </x:c>
      <x:c r="E38" s="31" t="n">
        <x:v>46350</x:v>
      </x:c>
      <x:c r="F38" s="31" t="n">
        <x:v>46353</x:v>
      </x:c>
      <x:c r="G38" s="42" t="str">
        <x:f>IF(OR($E38="",$F38=""),"",IF(AND(G$5&lt;=$F38,G$5+6&gt;=$E38),"■",""))</x:f>
      </x:c>
      <x:c r="H38" s="42" t="str">
        <x:f>IF(OR($E38="",$F38=""),"",IF(AND(H$5&lt;=$F38,H$5+6&gt;=$E38),"■",""))</x:f>
      </x:c>
      <x:c r="I38" s="42" t="str">
        <x:f>IF(OR($E38="",$F38=""),"",IF(AND(I$5&lt;=$F38,I$5+6&gt;=$E38),"■",""))</x:f>
      </x:c>
      <x:c r="J38" s="42" t="str">
        <x:f>IF(OR($E38="",$F38=""),"",IF(AND(J$5&lt;=$F38,J$5+6&gt;=$E38),"■",""))</x:f>
      </x:c>
      <x:c r="K38" s="42" t="str">
        <x:f>IF(OR($E38="",$F38=""),"",IF(AND(K$5&lt;=$F38,K$5+6&gt;=$E38),"■",""))</x:f>
      </x:c>
      <x:c r="L38" s="42" t="str">
        <x:f>IF(OR($E38="",$F38=""),"",IF(AND(L$5&lt;=$F38,L$5+6&gt;=$E38),"■",""))</x:f>
      </x:c>
      <x:c r="M38" s="42" t="str">
        <x:f>IF(OR($E38="",$F38=""),"",IF(AND(M$5&lt;=$F38,M$5+6&gt;=$E38),"■",""))</x:f>
      </x:c>
      <x:c r="N38" s="42" t="str">
        <x:f>IF(OR($E38="",$F38=""),"",IF(AND(N$5&lt;=$F38,N$5+6&gt;=$E38),"■",""))</x:f>
      </x:c>
      <x:c r="O38" s="42" t="str">
        <x:f>IF(OR($E38="",$F38=""),"",IF(AND(O$5&lt;=$F38,O$5+6&gt;=$E38),"■",""))</x:f>
      </x:c>
      <x:c r="P38" s="42" t="str">
        <x:f>IF(OR($E38="",$F38=""),"",IF(AND(P$5&lt;=$F38,P$5+6&gt;=$E38),"■",""))</x:f>
      </x:c>
      <x:c r="Q38" s="42" t="str">
        <x:f>IF(OR($E38="",$F38=""),"",IF(AND(Q$5&lt;=$F38,Q$5+6&gt;=$E38),"■",""))</x:f>
      </x:c>
      <x:c r="R38" s="42" t="str">
        <x:f>IF(OR($E38="",$F38=""),"",IF(AND(R$5&lt;=$F38,R$5+6&gt;=$E38),"■",""))</x:f>
      </x:c>
      <x:c r="S38" s="42" t="str">
        <x:f>IF(OR($E38="",$F38=""),"",IF(AND(S$5&lt;=$F38,S$5+6&gt;=$E38),"■",""))</x:f>
      </x:c>
      <x:c r="T38" s="42" t="str">
        <x:f>IF(OR($E38="",$F38=""),"",IF(AND(T$5&lt;=$F38,T$5+6&gt;=$E38),"■",""))</x:f>
      </x:c>
      <x:c r="U38" s="42" t="str">
        <x:f>IF(OR($E38="",$F38=""),"",IF(AND(U$5&lt;=$F38,U$5+6&gt;=$E38),"■",""))</x:f>
        <x:v>■</x:v>
      </x:c>
      <x:c r="V38" s="42" t="str">
        <x:f>IF(OR($E38="",$F38=""),"",IF(AND(V$5&lt;=$F38,V$5+6&gt;=$E38),"■",""))</x:f>
      </x:c>
      <x:c r="W38" s="42" t="str">
        <x:f>IF(OR($E38="",$F38=""),"",IF(AND(W$5&lt;=$F38,W$5+6&gt;=$E38),"■",""))</x:f>
      </x:c>
      <x:c r="X38" s="42" t="str">
        <x:f>IF(OR($E38="",$F38=""),"",IF(AND(X$5&lt;=$F38,X$5+6&gt;=$E38),"■",""))</x:f>
      </x:c>
      <x:c r="Y38" s="42" t="str">
        <x:f>IF(OR($E38="",$F38=""),"",IF(AND(Y$5&lt;=$F38,Y$5+6&gt;=$E38),"■",""))</x:f>
      </x:c>
      <x:c r="Z38" s="42" t="str">
        <x:f>IF(OR($E38="",$F38=""),"",IF(AND(Z$5&lt;=$F38,Z$5+6&gt;=$E38),"■",""))</x:f>
      </x:c>
      <x:c r="AA38" s="42" t="str">
        <x:f>IF(OR($E38="",$F38=""),"",IF(AND(AA$5&lt;=$F38,AA$5+6&gt;=$E38),"■",""))</x:f>
      </x:c>
      <x:c r="AB38" s="42" t="str">
        <x:f>IF(OR($E38="",$F38=""),"",IF(AND(AB$5&lt;=$F38,AB$5+6&gt;=$E38),"■",""))</x:f>
      </x:c>
      <x:c r="AC38" s="42" t="str">
        <x:f>IF(OR($E38="",$F38=""),"",IF(AND(AC$5&lt;=$F38,AC$5+6&gt;=$E38),"■",""))</x:f>
      </x:c>
      <x:c r="AD38" s="42" t="str">
        <x:f>IF(OR($E38="",$F38=""),"",IF(AND(AD$5&lt;=$F38,AD$5+6&gt;=$E38),"■",""))</x:f>
      </x:c>
      <x:c r="AE38" s="42" t="str">
        <x:f>IF(OR($E38="",$F38=""),"",IF(AND(AE$5&lt;=$F38,AE$5+6&gt;=$E38),"■",""))</x:f>
      </x:c>
      <x:c r="AF38" s="42" t="str">
        <x:f>IF(OR($E38="",$F38=""),"",IF(AND(AF$5&lt;=$F38,AF$5+6&gt;=$E38),"■",""))</x:f>
      </x:c>
      <x:c r="AG38" s="42" t="str">
        <x:f>IF(OR($E38="",$F38=""),"",IF(AND(AG$5&lt;=$F38,AG$5+6&gt;=$E38),"■",""))</x:f>
      </x:c>
      <x:c r="AH38" s="42" t="str">
        <x:f>IF(OR($E38="",$F38=""),"",IF(AND(AH$5&lt;=$F38,AH$5+6&gt;=$E38),"■",""))</x:f>
      </x:c>
      <x:c r="AI38" s="42" t="str">
        <x:f>IF(OR($E38="",$F38=""),"",IF(AND(AI$5&lt;=$F38,AI$5+6&gt;=$E38),"■",""))</x:f>
      </x:c>
      <x:c r="AJ38" s="42" t="str">
        <x:f>IF(OR($E38="",$F38=""),"",IF(AND(AJ$5&lt;=$F38,AJ$5+6&gt;=$E38),"■",""))</x:f>
      </x:c>
      <x:c r="AK38" s="42" t="str">
        <x:f>IF(OR($E38="",$F38=""),"",IF(AND(AK$5&lt;=$F38,AK$5+6&gt;=$E38),"■",""))</x:f>
      </x:c>
    </x:row>
    <x:row r="39" ht="28" customHeight="1">
      <x:c r="A39" s="26" t="str">
        <x:v>ARCH-R5-001</x:v>
      </x:c>
      <x:c r="B39" s="26" t="str">
        <x:v>VoiceNotes Adapter &amp; Reconciliation Contract</x:v>
      </x:c>
      <x:c r="C39" s="26" t="str">
        <x:v>Backlog</x:v>
      </x:c>
      <x:c r="D39" s="26" t="str">
        <x:v>R5</x:v>
      </x:c>
      <x:c r="E39" s="31" t="n">
        <x:v>46350</x:v>
      </x:c>
      <x:c r="F39" s="31" t="n">
        <x:v>46353</x:v>
      </x:c>
      <x:c r="G39" s="42" t="str">
        <x:f>IF(OR($E39="",$F39=""),"",IF(AND(G$5&lt;=$F39,G$5+6&gt;=$E39),"■",""))</x:f>
      </x:c>
      <x:c r="H39" s="42" t="str">
        <x:f>IF(OR($E39="",$F39=""),"",IF(AND(H$5&lt;=$F39,H$5+6&gt;=$E39),"■",""))</x:f>
      </x:c>
      <x:c r="I39" s="42" t="str">
        <x:f>IF(OR($E39="",$F39=""),"",IF(AND(I$5&lt;=$F39,I$5+6&gt;=$E39),"■",""))</x:f>
      </x:c>
      <x:c r="J39" s="42" t="str">
        <x:f>IF(OR($E39="",$F39=""),"",IF(AND(J$5&lt;=$F39,J$5+6&gt;=$E39),"■",""))</x:f>
      </x:c>
      <x:c r="K39" s="42" t="str">
        <x:f>IF(OR($E39="",$F39=""),"",IF(AND(K$5&lt;=$F39,K$5+6&gt;=$E39),"■",""))</x:f>
      </x:c>
      <x:c r="L39" s="42" t="str">
        <x:f>IF(OR($E39="",$F39=""),"",IF(AND(L$5&lt;=$F39,L$5+6&gt;=$E39),"■",""))</x:f>
      </x:c>
      <x:c r="M39" s="42" t="str">
        <x:f>IF(OR($E39="",$F39=""),"",IF(AND(M$5&lt;=$F39,M$5+6&gt;=$E39),"■",""))</x:f>
      </x:c>
      <x:c r="N39" s="42" t="str">
        <x:f>IF(OR($E39="",$F39=""),"",IF(AND(N$5&lt;=$F39,N$5+6&gt;=$E39),"■",""))</x:f>
      </x:c>
      <x:c r="O39" s="42" t="str">
        <x:f>IF(OR($E39="",$F39=""),"",IF(AND(O$5&lt;=$F39,O$5+6&gt;=$E39),"■",""))</x:f>
      </x:c>
      <x:c r="P39" s="42" t="str">
        <x:f>IF(OR($E39="",$F39=""),"",IF(AND(P$5&lt;=$F39,P$5+6&gt;=$E39),"■",""))</x:f>
      </x:c>
      <x:c r="Q39" s="42" t="str">
        <x:f>IF(OR($E39="",$F39=""),"",IF(AND(Q$5&lt;=$F39,Q$5+6&gt;=$E39),"■",""))</x:f>
      </x:c>
      <x:c r="R39" s="42" t="str">
        <x:f>IF(OR($E39="",$F39=""),"",IF(AND(R$5&lt;=$F39,R$5+6&gt;=$E39),"■",""))</x:f>
      </x:c>
      <x:c r="S39" s="42" t="str">
        <x:f>IF(OR($E39="",$F39=""),"",IF(AND(S$5&lt;=$F39,S$5+6&gt;=$E39),"■",""))</x:f>
      </x:c>
      <x:c r="T39" s="42" t="str">
        <x:f>IF(OR($E39="",$F39=""),"",IF(AND(T$5&lt;=$F39,T$5+6&gt;=$E39),"■",""))</x:f>
      </x:c>
      <x:c r="U39" s="42" t="str">
        <x:f>IF(OR($E39="",$F39=""),"",IF(AND(U$5&lt;=$F39,U$5+6&gt;=$E39),"■",""))</x:f>
        <x:v>■</x:v>
      </x:c>
      <x:c r="V39" s="42" t="str">
        <x:f>IF(OR($E39="",$F39=""),"",IF(AND(V$5&lt;=$F39,V$5+6&gt;=$E39),"■",""))</x:f>
      </x:c>
      <x:c r="W39" s="42" t="str">
        <x:f>IF(OR($E39="",$F39=""),"",IF(AND(W$5&lt;=$F39,W$5+6&gt;=$E39),"■",""))</x:f>
      </x:c>
      <x:c r="X39" s="42" t="str">
        <x:f>IF(OR($E39="",$F39=""),"",IF(AND(X$5&lt;=$F39,X$5+6&gt;=$E39),"■",""))</x:f>
      </x:c>
      <x:c r="Y39" s="42" t="str">
        <x:f>IF(OR($E39="",$F39=""),"",IF(AND(Y$5&lt;=$F39,Y$5+6&gt;=$E39),"■",""))</x:f>
      </x:c>
      <x:c r="Z39" s="42" t="str">
        <x:f>IF(OR($E39="",$F39=""),"",IF(AND(Z$5&lt;=$F39,Z$5+6&gt;=$E39),"■",""))</x:f>
      </x:c>
      <x:c r="AA39" s="42" t="str">
        <x:f>IF(OR($E39="",$F39=""),"",IF(AND(AA$5&lt;=$F39,AA$5+6&gt;=$E39),"■",""))</x:f>
      </x:c>
      <x:c r="AB39" s="42" t="str">
        <x:f>IF(OR($E39="",$F39=""),"",IF(AND(AB$5&lt;=$F39,AB$5+6&gt;=$E39),"■",""))</x:f>
      </x:c>
      <x:c r="AC39" s="42" t="str">
        <x:f>IF(OR($E39="",$F39=""),"",IF(AND(AC$5&lt;=$F39,AC$5+6&gt;=$E39),"■",""))</x:f>
      </x:c>
      <x:c r="AD39" s="42" t="str">
        <x:f>IF(OR($E39="",$F39=""),"",IF(AND(AD$5&lt;=$F39,AD$5+6&gt;=$E39),"■",""))</x:f>
      </x:c>
      <x:c r="AE39" s="42" t="str">
        <x:f>IF(OR($E39="",$F39=""),"",IF(AND(AE$5&lt;=$F39,AE$5+6&gt;=$E39),"■",""))</x:f>
      </x:c>
      <x:c r="AF39" s="42" t="str">
        <x:f>IF(OR($E39="",$F39=""),"",IF(AND(AF$5&lt;=$F39,AF$5+6&gt;=$E39),"■",""))</x:f>
      </x:c>
      <x:c r="AG39" s="42" t="str">
        <x:f>IF(OR($E39="",$F39=""),"",IF(AND(AG$5&lt;=$F39,AG$5+6&gt;=$E39),"■",""))</x:f>
      </x:c>
      <x:c r="AH39" s="42" t="str">
        <x:f>IF(OR($E39="",$F39=""),"",IF(AND(AH$5&lt;=$F39,AH$5+6&gt;=$E39),"■",""))</x:f>
      </x:c>
      <x:c r="AI39" s="42" t="str">
        <x:f>IF(OR($E39="",$F39=""),"",IF(AND(AI$5&lt;=$F39,AI$5+6&gt;=$E39),"■",""))</x:f>
      </x:c>
      <x:c r="AJ39" s="42" t="str">
        <x:f>IF(OR($E39="",$F39=""),"",IF(AND(AJ$5&lt;=$F39,AJ$5+6&gt;=$E39),"■",""))</x:f>
      </x:c>
      <x:c r="AK39" s="42" t="str">
        <x:f>IF(OR($E39="",$F39=""),"",IF(AND(AK$5&lt;=$F39,AK$5+6&gt;=$E39),"■",""))</x:f>
      </x:c>
    </x:row>
    <x:row r="40" ht="28" customHeight="1">
      <x:c r="A40" s="26" t="str">
        <x:v>ENG-R5-001</x:v>
      </x:c>
      <x:c r="B40" s="26" t="str">
        <x:v>Prospective Import &amp; Revisions</x:v>
      </x:c>
      <x:c r="C40" s="26" t="str">
        <x:v>Backlog</x:v>
      </x:c>
      <x:c r="D40" s="26" t="str">
        <x:v>R5</x:v>
      </x:c>
      <x:c r="E40" s="31" t="n">
        <x:v>46352</x:v>
      </x:c>
      <x:c r="F40" s="31" t="n">
        <x:v>46365</x:v>
      </x:c>
      <x:c r="G40" s="42" t="str">
        <x:f>IF(OR($E40="",$F40=""),"",IF(AND(G$5&lt;=$F40,G$5+6&gt;=$E40),"■",""))</x:f>
      </x:c>
      <x:c r="H40" s="42" t="str">
        <x:f>IF(OR($E40="",$F40=""),"",IF(AND(H$5&lt;=$F40,H$5+6&gt;=$E40),"■",""))</x:f>
      </x:c>
      <x:c r="I40" s="42" t="str">
        <x:f>IF(OR($E40="",$F40=""),"",IF(AND(I$5&lt;=$F40,I$5+6&gt;=$E40),"■",""))</x:f>
      </x:c>
      <x:c r="J40" s="42" t="str">
        <x:f>IF(OR($E40="",$F40=""),"",IF(AND(J$5&lt;=$F40,J$5+6&gt;=$E40),"■",""))</x:f>
      </x:c>
      <x:c r="K40" s="42" t="str">
        <x:f>IF(OR($E40="",$F40=""),"",IF(AND(K$5&lt;=$F40,K$5+6&gt;=$E40),"■",""))</x:f>
      </x:c>
      <x:c r="L40" s="42" t="str">
        <x:f>IF(OR($E40="",$F40=""),"",IF(AND(L$5&lt;=$F40,L$5+6&gt;=$E40),"■",""))</x:f>
      </x:c>
      <x:c r="M40" s="42" t="str">
        <x:f>IF(OR($E40="",$F40=""),"",IF(AND(M$5&lt;=$F40,M$5+6&gt;=$E40),"■",""))</x:f>
      </x:c>
      <x:c r="N40" s="42" t="str">
        <x:f>IF(OR($E40="",$F40=""),"",IF(AND(N$5&lt;=$F40,N$5+6&gt;=$E40),"■",""))</x:f>
      </x:c>
      <x:c r="O40" s="42" t="str">
        <x:f>IF(OR($E40="",$F40=""),"",IF(AND(O$5&lt;=$F40,O$5+6&gt;=$E40),"■",""))</x:f>
      </x:c>
      <x:c r="P40" s="42" t="str">
        <x:f>IF(OR($E40="",$F40=""),"",IF(AND(P$5&lt;=$F40,P$5+6&gt;=$E40),"■",""))</x:f>
      </x:c>
      <x:c r="Q40" s="42" t="str">
        <x:f>IF(OR($E40="",$F40=""),"",IF(AND(Q$5&lt;=$F40,Q$5+6&gt;=$E40),"■",""))</x:f>
      </x:c>
      <x:c r="R40" s="42" t="str">
        <x:f>IF(OR($E40="",$F40=""),"",IF(AND(R$5&lt;=$F40,R$5+6&gt;=$E40),"■",""))</x:f>
      </x:c>
      <x:c r="S40" s="42" t="str">
        <x:f>IF(OR($E40="",$F40=""),"",IF(AND(S$5&lt;=$F40,S$5+6&gt;=$E40),"■",""))</x:f>
      </x:c>
      <x:c r="T40" s="42" t="str">
        <x:f>IF(OR($E40="",$F40=""),"",IF(AND(T$5&lt;=$F40,T$5+6&gt;=$E40),"■",""))</x:f>
      </x:c>
      <x:c r="U40" s="42" t="str">
        <x:f>IF(OR($E40="",$F40=""),"",IF(AND(U$5&lt;=$F40,U$5+6&gt;=$E40),"■",""))</x:f>
        <x:v>■</x:v>
      </x:c>
      <x:c r="V40" s="42" t="str">
        <x:f>IF(OR($E40="",$F40=""),"",IF(AND(V$5&lt;=$F40,V$5+6&gt;=$E40),"■",""))</x:f>
        <x:v>■</x:v>
      </x:c>
      <x:c r="W40" s="42" t="str">
        <x:f>IF(OR($E40="",$F40=""),"",IF(AND(W$5&lt;=$F40,W$5+6&gt;=$E40),"■",""))</x:f>
        <x:v>■</x:v>
      </x:c>
      <x:c r="X40" s="42" t="str">
        <x:f>IF(OR($E40="",$F40=""),"",IF(AND(X$5&lt;=$F40,X$5+6&gt;=$E40),"■",""))</x:f>
      </x:c>
      <x:c r="Y40" s="42" t="str">
        <x:f>IF(OR($E40="",$F40=""),"",IF(AND(Y$5&lt;=$F40,Y$5+6&gt;=$E40),"■",""))</x:f>
      </x:c>
      <x:c r="Z40" s="42" t="str">
        <x:f>IF(OR($E40="",$F40=""),"",IF(AND(Z$5&lt;=$F40,Z$5+6&gt;=$E40),"■",""))</x:f>
      </x:c>
      <x:c r="AA40" s="42" t="str">
        <x:f>IF(OR($E40="",$F40=""),"",IF(AND(AA$5&lt;=$F40,AA$5+6&gt;=$E40),"■",""))</x:f>
      </x:c>
      <x:c r="AB40" s="42" t="str">
        <x:f>IF(OR($E40="",$F40=""),"",IF(AND(AB$5&lt;=$F40,AB$5+6&gt;=$E40),"■",""))</x:f>
      </x:c>
      <x:c r="AC40" s="42" t="str">
        <x:f>IF(OR($E40="",$F40=""),"",IF(AND(AC$5&lt;=$F40,AC$5+6&gt;=$E40),"■",""))</x:f>
      </x:c>
      <x:c r="AD40" s="42" t="str">
        <x:f>IF(OR($E40="",$F40=""),"",IF(AND(AD$5&lt;=$F40,AD$5+6&gt;=$E40),"■",""))</x:f>
      </x:c>
      <x:c r="AE40" s="42" t="str">
        <x:f>IF(OR($E40="",$F40=""),"",IF(AND(AE$5&lt;=$F40,AE$5+6&gt;=$E40),"■",""))</x:f>
      </x:c>
      <x:c r="AF40" s="42" t="str">
        <x:f>IF(OR($E40="",$F40=""),"",IF(AND(AF$5&lt;=$F40,AF$5+6&gt;=$E40),"■",""))</x:f>
      </x:c>
      <x:c r="AG40" s="42" t="str">
        <x:f>IF(OR($E40="",$F40=""),"",IF(AND(AG$5&lt;=$F40,AG$5+6&gt;=$E40),"■",""))</x:f>
      </x:c>
      <x:c r="AH40" s="42" t="str">
        <x:f>IF(OR($E40="",$F40=""),"",IF(AND(AH$5&lt;=$F40,AH$5+6&gt;=$E40),"■",""))</x:f>
      </x:c>
      <x:c r="AI40" s="42" t="str">
        <x:f>IF(OR($E40="",$F40=""),"",IF(AND(AI$5&lt;=$F40,AI$5+6&gt;=$E40),"■",""))</x:f>
      </x:c>
      <x:c r="AJ40" s="42" t="str">
        <x:f>IF(OR($E40="",$F40=""),"",IF(AND(AJ$5&lt;=$F40,AJ$5+6&gt;=$E40),"■",""))</x:f>
      </x:c>
      <x:c r="AK40" s="42" t="str">
        <x:f>IF(OR($E40="",$F40=""),"",IF(AND(AK$5&lt;=$F40,AK$5+6&gt;=$E40),"■",""))</x:f>
      </x:c>
    </x:row>
    <x:row r="41" ht="28" customHeight="1">
      <x:c r="A41" s="26" t="str">
        <x:v>REL-R5-001</x:v>
      </x:c>
      <x:c r="B41" s="26" t="str">
        <x:v>Replay/Suppression/Restore Acceptance</x:v>
      </x:c>
      <x:c r="C41" s="26" t="str">
        <x:v>Backlog</x:v>
      </x:c>
      <x:c r="D41" s="26" t="str">
        <x:v>R5</x:v>
      </x:c>
      <x:c r="E41" s="31" t="n">
        <x:v>46366</x:v>
      </x:c>
      <x:c r="F41" s="31" t="n">
        <x:v>46367</x:v>
      </x:c>
      <x:c r="G41" s="42" t="str">
        <x:f>IF(OR($E41="",$F41=""),"",IF(AND(G$5&lt;=$F41,G$5+6&gt;=$E41),"■",""))</x:f>
      </x:c>
      <x:c r="H41" s="42" t="str">
        <x:f>IF(OR($E41="",$F41=""),"",IF(AND(H$5&lt;=$F41,H$5+6&gt;=$E41),"■",""))</x:f>
      </x:c>
      <x:c r="I41" s="42" t="str">
        <x:f>IF(OR($E41="",$F41=""),"",IF(AND(I$5&lt;=$F41,I$5+6&gt;=$E41),"■",""))</x:f>
      </x:c>
      <x:c r="J41" s="42" t="str">
        <x:f>IF(OR($E41="",$F41=""),"",IF(AND(J$5&lt;=$F41,J$5+6&gt;=$E41),"■",""))</x:f>
      </x:c>
      <x:c r="K41" s="42" t="str">
        <x:f>IF(OR($E41="",$F41=""),"",IF(AND(K$5&lt;=$F41,K$5+6&gt;=$E41),"■",""))</x:f>
      </x:c>
      <x:c r="L41" s="42" t="str">
        <x:f>IF(OR($E41="",$F41=""),"",IF(AND(L$5&lt;=$F41,L$5+6&gt;=$E41),"■",""))</x:f>
      </x:c>
      <x:c r="M41" s="42" t="str">
        <x:f>IF(OR($E41="",$F41=""),"",IF(AND(M$5&lt;=$F41,M$5+6&gt;=$E41),"■",""))</x:f>
      </x:c>
      <x:c r="N41" s="42" t="str">
        <x:f>IF(OR($E41="",$F41=""),"",IF(AND(N$5&lt;=$F41,N$5+6&gt;=$E41),"■",""))</x:f>
      </x:c>
      <x:c r="O41" s="42" t="str">
        <x:f>IF(OR($E41="",$F41=""),"",IF(AND(O$5&lt;=$F41,O$5+6&gt;=$E41),"■",""))</x:f>
      </x:c>
      <x:c r="P41" s="42" t="str">
        <x:f>IF(OR($E41="",$F41=""),"",IF(AND(P$5&lt;=$F41,P$5+6&gt;=$E41),"■",""))</x:f>
      </x:c>
      <x:c r="Q41" s="42" t="str">
        <x:f>IF(OR($E41="",$F41=""),"",IF(AND(Q$5&lt;=$F41,Q$5+6&gt;=$E41),"■",""))</x:f>
      </x:c>
      <x:c r="R41" s="42" t="str">
        <x:f>IF(OR($E41="",$F41=""),"",IF(AND(R$5&lt;=$F41,R$5+6&gt;=$E41),"■",""))</x:f>
      </x:c>
      <x:c r="S41" s="42" t="str">
        <x:f>IF(OR($E41="",$F41=""),"",IF(AND(S$5&lt;=$F41,S$5+6&gt;=$E41),"■",""))</x:f>
      </x:c>
      <x:c r="T41" s="42" t="str">
        <x:f>IF(OR($E41="",$F41=""),"",IF(AND(T$5&lt;=$F41,T$5+6&gt;=$E41),"■",""))</x:f>
      </x:c>
      <x:c r="U41" s="42" t="str">
        <x:f>IF(OR($E41="",$F41=""),"",IF(AND(U$5&lt;=$F41,U$5+6&gt;=$E41),"■",""))</x:f>
      </x:c>
      <x:c r="V41" s="42" t="str">
        <x:f>IF(OR($E41="",$F41=""),"",IF(AND(V$5&lt;=$F41,V$5+6&gt;=$E41),"■",""))</x:f>
      </x:c>
      <x:c r="W41" s="42" t="str">
        <x:f>IF(OR($E41="",$F41=""),"",IF(AND(W$5&lt;=$F41,W$5+6&gt;=$E41),"■",""))</x:f>
        <x:v>■</x:v>
      </x:c>
      <x:c r="X41" s="42" t="str">
        <x:f>IF(OR($E41="",$F41=""),"",IF(AND(X$5&lt;=$F41,X$5+6&gt;=$E41),"■",""))</x:f>
      </x:c>
      <x:c r="Y41" s="42" t="str">
        <x:f>IF(OR($E41="",$F41=""),"",IF(AND(Y$5&lt;=$F41,Y$5+6&gt;=$E41),"■",""))</x:f>
      </x:c>
      <x:c r="Z41" s="42" t="str">
        <x:f>IF(OR($E41="",$F41=""),"",IF(AND(Z$5&lt;=$F41,Z$5+6&gt;=$E41),"■",""))</x:f>
      </x:c>
      <x:c r="AA41" s="42" t="str">
        <x:f>IF(OR($E41="",$F41=""),"",IF(AND(AA$5&lt;=$F41,AA$5+6&gt;=$E41),"■",""))</x:f>
      </x:c>
      <x:c r="AB41" s="42" t="str">
        <x:f>IF(OR($E41="",$F41=""),"",IF(AND(AB$5&lt;=$F41,AB$5+6&gt;=$E41),"■",""))</x:f>
      </x:c>
      <x:c r="AC41" s="42" t="str">
        <x:f>IF(OR($E41="",$F41=""),"",IF(AND(AC$5&lt;=$F41,AC$5+6&gt;=$E41),"■",""))</x:f>
      </x:c>
      <x:c r="AD41" s="42" t="str">
        <x:f>IF(OR($E41="",$F41=""),"",IF(AND(AD$5&lt;=$F41,AD$5+6&gt;=$E41),"■",""))</x:f>
      </x:c>
      <x:c r="AE41" s="42" t="str">
        <x:f>IF(OR($E41="",$F41=""),"",IF(AND(AE$5&lt;=$F41,AE$5+6&gt;=$E41),"■",""))</x:f>
      </x:c>
      <x:c r="AF41" s="42" t="str">
        <x:f>IF(OR($E41="",$F41=""),"",IF(AND(AF$5&lt;=$F41,AF$5+6&gt;=$E41),"■",""))</x:f>
      </x:c>
      <x:c r="AG41" s="42" t="str">
        <x:f>IF(OR($E41="",$F41=""),"",IF(AND(AG$5&lt;=$F41,AG$5+6&gt;=$E41),"■",""))</x:f>
      </x:c>
      <x:c r="AH41" s="42" t="str">
        <x:f>IF(OR($E41="",$F41=""),"",IF(AND(AH$5&lt;=$F41,AH$5+6&gt;=$E41),"■",""))</x:f>
      </x:c>
      <x:c r="AI41" s="42" t="str">
        <x:f>IF(OR($E41="",$F41=""),"",IF(AND(AI$5&lt;=$F41,AI$5+6&gt;=$E41),"■",""))</x:f>
      </x:c>
      <x:c r="AJ41" s="42" t="str">
        <x:f>IF(OR($E41="",$F41=""),"",IF(AND(AJ$5&lt;=$F41,AJ$5+6&gt;=$E41),"■",""))</x:f>
      </x:c>
      <x:c r="AK41" s="42" t="str">
        <x:f>IF(OR($E41="",$F41=""),"",IF(AND(AK$5&lt;=$F41,AK$5+6&gt;=$E41),"■",""))</x:f>
      </x:c>
    </x:row>
    <x:row r="42" ht="28" customHeight="1">
      <x:c r="A42" s="26" t="str">
        <x:v>EVAL-R6-001</x:v>
      </x:c>
      <x:c r="B42" s="26" t="str">
        <x:v>Text Model Evaluation</x:v>
      </x:c>
      <x:c r="C42" s="26" t="str">
        <x:v>Backlog</x:v>
      </x:c>
      <x:c r="D42" s="26" t="str">
        <x:v>R6</x:v>
      </x:c>
      <x:c r="E42" s="31" t="n">
        <x:v>46370</x:v>
      </x:c>
      <x:c r="F42" s="31" t="n">
        <x:v>46374</x:v>
      </x:c>
      <x:c r="G42" s="42" t="str">
        <x:f>IF(OR($E42="",$F42=""),"",IF(AND(G$5&lt;=$F42,G$5+6&gt;=$E42),"■",""))</x:f>
      </x:c>
      <x:c r="H42" s="42" t="str">
        <x:f>IF(OR($E42="",$F42=""),"",IF(AND(H$5&lt;=$F42,H$5+6&gt;=$E42),"■",""))</x:f>
      </x:c>
      <x:c r="I42" s="42" t="str">
        <x:f>IF(OR($E42="",$F42=""),"",IF(AND(I$5&lt;=$F42,I$5+6&gt;=$E42),"■",""))</x:f>
      </x:c>
      <x:c r="J42" s="42" t="str">
        <x:f>IF(OR($E42="",$F42=""),"",IF(AND(J$5&lt;=$F42,J$5+6&gt;=$E42),"■",""))</x:f>
      </x:c>
      <x:c r="K42" s="42" t="str">
        <x:f>IF(OR($E42="",$F42=""),"",IF(AND(K$5&lt;=$F42,K$5+6&gt;=$E42),"■",""))</x:f>
      </x:c>
      <x:c r="L42" s="42" t="str">
        <x:f>IF(OR($E42="",$F42=""),"",IF(AND(L$5&lt;=$F42,L$5+6&gt;=$E42),"■",""))</x:f>
      </x:c>
      <x:c r="M42" s="42" t="str">
        <x:f>IF(OR($E42="",$F42=""),"",IF(AND(M$5&lt;=$F42,M$5+6&gt;=$E42),"■",""))</x:f>
      </x:c>
      <x:c r="N42" s="42" t="str">
        <x:f>IF(OR($E42="",$F42=""),"",IF(AND(N$5&lt;=$F42,N$5+6&gt;=$E42),"■",""))</x:f>
      </x:c>
      <x:c r="O42" s="42" t="str">
        <x:f>IF(OR($E42="",$F42=""),"",IF(AND(O$5&lt;=$F42,O$5+6&gt;=$E42),"■",""))</x:f>
      </x:c>
      <x:c r="P42" s="42" t="str">
        <x:f>IF(OR($E42="",$F42=""),"",IF(AND(P$5&lt;=$F42,P$5+6&gt;=$E42),"■",""))</x:f>
      </x:c>
      <x:c r="Q42" s="42" t="str">
        <x:f>IF(OR($E42="",$F42=""),"",IF(AND(Q$5&lt;=$F42,Q$5+6&gt;=$E42),"■",""))</x:f>
      </x:c>
      <x:c r="R42" s="42" t="str">
        <x:f>IF(OR($E42="",$F42=""),"",IF(AND(R$5&lt;=$F42,R$5+6&gt;=$E42),"■",""))</x:f>
      </x:c>
      <x:c r="S42" s="42" t="str">
        <x:f>IF(OR($E42="",$F42=""),"",IF(AND(S$5&lt;=$F42,S$5+6&gt;=$E42),"■",""))</x:f>
      </x:c>
      <x:c r="T42" s="42" t="str">
        <x:f>IF(OR($E42="",$F42=""),"",IF(AND(T$5&lt;=$F42,T$5+6&gt;=$E42),"■",""))</x:f>
      </x:c>
      <x:c r="U42" s="42" t="str">
        <x:f>IF(OR($E42="",$F42=""),"",IF(AND(U$5&lt;=$F42,U$5+6&gt;=$E42),"■",""))</x:f>
      </x:c>
      <x:c r="V42" s="42" t="str">
        <x:f>IF(OR($E42="",$F42=""),"",IF(AND(V$5&lt;=$F42,V$5+6&gt;=$E42),"■",""))</x:f>
      </x:c>
      <x:c r="W42" s="42" t="str">
        <x:f>IF(OR($E42="",$F42=""),"",IF(AND(W$5&lt;=$F42,W$5+6&gt;=$E42),"■",""))</x:f>
      </x:c>
      <x:c r="X42" s="42" t="str">
        <x:f>IF(OR($E42="",$F42=""),"",IF(AND(X$5&lt;=$F42,X$5+6&gt;=$E42),"■",""))</x:f>
        <x:v>■</x:v>
      </x:c>
      <x:c r="Y42" s="42" t="str">
        <x:f>IF(OR($E42="",$F42=""),"",IF(AND(Y$5&lt;=$F42,Y$5+6&gt;=$E42),"■",""))</x:f>
      </x:c>
      <x:c r="Z42" s="42" t="str">
        <x:f>IF(OR($E42="",$F42=""),"",IF(AND(Z$5&lt;=$F42,Z$5+6&gt;=$E42),"■",""))</x:f>
      </x:c>
      <x:c r="AA42" s="42" t="str">
        <x:f>IF(OR($E42="",$F42=""),"",IF(AND(AA$5&lt;=$F42,AA$5+6&gt;=$E42),"■",""))</x:f>
      </x:c>
      <x:c r="AB42" s="42" t="str">
        <x:f>IF(OR($E42="",$F42=""),"",IF(AND(AB$5&lt;=$F42,AB$5+6&gt;=$E42),"■",""))</x:f>
      </x:c>
      <x:c r="AC42" s="42" t="str">
        <x:f>IF(OR($E42="",$F42=""),"",IF(AND(AC$5&lt;=$F42,AC$5+6&gt;=$E42),"■",""))</x:f>
      </x:c>
      <x:c r="AD42" s="42" t="str">
        <x:f>IF(OR($E42="",$F42=""),"",IF(AND(AD$5&lt;=$F42,AD$5+6&gt;=$E42),"■",""))</x:f>
      </x:c>
      <x:c r="AE42" s="42" t="str">
        <x:f>IF(OR($E42="",$F42=""),"",IF(AND(AE$5&lt;=$F42,AE$5+6&gt;=$E42),"■",""))</x:f>
      </x:c>
      <x:c r="AF42" s="42" t="str">
        <x:f>IF(OR($E42="",$F42=""),"",IF(AND(AF$5&lt;=$F42,AF$5+6&gt;=$E42),"■",""))</x:f>
      </x:c>
      <x:c r="AG42" s="42" t="str">
        <x:f>IF(OR($E42="",$F42=""),"",IF(AND(AG$5&lt;=$F42,AG$5+6&gt;=$E42),"■",""))</x:f>
      </x:c>
      <x:c r="AH42" s="42" t="str">
        <x:f>IF(OR($E42="",$F42=""),"",IF(AND(AH$5&lt;=$F42,AH$5+6&gt;=$E42),"■",""))</x:f>
      </x:c>
      <x:c r="AI42" s="42" t="str">
        <x:f>IF(OR($E42="",$F42=""),"",IF(AND(AI$5&lt;=$F42,AI$5+6&gt;=$E42),"■",""))</x:f>
      </x:c>
      <x:c r="AJ42" s="42" t="str">
        <x:f>IF(OR($E42="",$F42=""),"",IF(AND(AJ$5&lt;=$F42,AJ$5+6&gt;=$E42),"■",""))</x:f>
      </x:c>
      <x:c r="AK42" s="42" t="str">
        <x:f>IF(OR($E42="",$F42=""),"",IF(AND(AK$5&lt;=$F42,AK$5+6&gt;=$E42),"■",""))</x:f>
      </x:c>
    </x:row>
    <x:row r="43" ht="28" customHeight="1">
      <x:c r="A43" s="26" t="str">
        <x:v>PRD-R6-001</x:v>
      </x:c>
      <x:c r="B43" s="26" t="str">
        <x:v>Generated Text PRD</x:v>
      </x:c>
      <x:c r="C43" s="26" t="str">
        <x:v>Done</x:v>
      </x:c>
      <x:c r="D43" s="26" t="str">
        <x:v>R6</x:v>
      </x:c>
      <x:c r="E43" s="31" t="n">
        <x:v>46370</x:v>
      </x:c>
      <x:c r="F43" s="31" t="n">
        <x:v>46374</x:v>
      </x:c>
      <x:c r="G43" s="42" t="str">
        <x:f>IF(OR($E43="",$F43=""),"",IF(AND(G$5&lt;=$F43,G$5+6&gt;=$E43),"■",""))</x:f>
      </x:c>
      <x:c r="H43" s="42" t="str">
        <x:f>IF(OR($E43="",$F43=""),"",IF(AND(H$5&lt;=$F43,H$5+6&gt;=$E43),"■",""))</x:f>
      </x:c>
      <x:c r="I43" s="42" t="str">
        <x:f>IF(OR($E43="",$F43=""),"",IF(AND(I$5&lt;=$F43,I$5+6&gt;=$E43),"■",""))</x:f>
      </x:c>
      <x:c r="J43" s="42" t="str">
        <x:f>IF(OR($E43="",$F43=""),"",IF(AND(J$5&lt;=$F43,J$5+6&gt;=$E43),"■",""))</x:f>
      </x:c>
      <x:c r="K43" s="42" t="str">
        <x:f>IF(OR($E43="",$F43=""),"",IF(AND(K$5&lt;=$F43,K$5+6&gt;=$E43),"■",""))</x:f>
      </x:c>
      <x:c r="L43" s="42" t="str">
        <x:f>IF(OR($E43="",$F43=""),"",IF(AND(L$5&lt;=$F43,L$5+6&gt;=$E43),"■",""))</x:f>
      </x:c>
      <x:c r="M43" s="42" t="str">
        <x:f>IF(OR($E43="",$F43=""),"",IF(AND(M$5&lt;=$F43,M$5+6&gt;=$E43),"■",""))</x:f>
      </x:c>
      <x:c r="N43" s="42" t="str">
        <x:f>IF(OR($E43="",$F43=""),"",IF(AND(N$5&lt;=$F43,N$5+6&gt;=$E43),"■",""))</x:f>
      </x:c>
      <x:c r="O43" s="42" t="str">
        <x:f>IF(OR($E43="",$F43=""),"",IF(AND(O$5&lt;=$F43,O$5+6&gt;=$E43),"■",""))</x:f>
      </x:c>
      <x:c r="P43" s="42" t="str">
        <x:f>IF(OR($E43="",$F43=""),"",IF(AND(P$5&lt;=$F43,P$5+6&gt;=$E43),"■",""))</x:f>
      </x:c>
      <x:c r="Q43" s="42" t="str">
        <x:f>IF(OR($E43="",$F43=""),"",IF(AND(Q$5&lt;=$F43,Q$5+6&gt;=$E43),"■",""))</x:f>
      </x:c>
      <x:c r="R43" s="42" t="str">
        <x:f>IF(OR($E43="",$F43=""),"",IF(AND(R$5&lt;=$F43,R$5+6&gt;=$E43),"■",""))</x:f>
      </x:c>
      <x:c r="S43" s="42" t="str">
        <x:f>IF(OR($E43="",$F43=""),"",IF(AND(S$5&lt;=$F43,S$5+6&gt;=$E43),"■",""))</x:f>
      </x:c>
      <x:c r="T43" s="42" t="str">
        <x:f>IF(OR($E43="",$F43=""),"",IF(AND(T$5&lt;=$F43,T$5+6&gt;=$E43),"■",""))</x:f>
      </x:c>
      <x:c r="U43" s="42" t="str">
        <x:f>IF(OR($E43="",$F43=""),"",IF(AND(U$5&lt;=$F43,U$5+6&gt;=$E43),"■",""))</x:f>
      </x:c>
      <x:c r="V43" s="42" t="str">
        <x:f>IF(OR($E43="",$F43=""),"",IF(AND(V$5&lt;=$F43,V$5+6&gt;=$E43),"■",""))</x:f>
      </x:c>
      <x:c r="W43" s="42" t="str">
        <x:f>IF(OR($E43="",$F43=""),"",IF(AND(W$5&lt;=$F43,W$5+6&gt;=$E43),"■",""))</x:f>
      </x:c>
      <x:c r="X43" s="42" t="str">
        <x:f>IF(OR($E43="",$F43=""),"",IF(AND(X$5&lt;=$F43,X$5+6&gt;=$E43),"■",""))</x:f>
        <x:v>■</x:v>
      </x:c>
      <x:c r="Y43" s="42" t="str">
        <x:f>IF(OR($E43="",$F43=""),"",IF(AND(Y$5&lt;=$F43,Y$5+6&gt;=$E43),"■",""))</x:f>
      </x:c>
      <x:c r="Z43" s="42" t="str">
        <x:f>IF(OR($E43="",$F43=""),"",IF(AND(Z$5&lt;=$F43,Z$5+6&gt;=$E43),"■",""))</x:f>
      </x:c>
      <x:c r="AA43" s="42" t="str">
        <x:f>IF(OR($E43="",$F43=""),"",IF(AND(AA$5&lt;=$F43,AA$5+6&gt;=$E43),"■",""))</x:f>
      </x:c>
      <x:c r="AB43" s="42" t="str">
        <x:f>IF(OR($E43="",$F43=""),"",IF(AND(AB$5&lt;=$F43,AB$5+6&gt;=$E43),"■",""))</x:f>
      </x:c>
      <x:c r="AC43" s="42" t="str">
        <x:f>IF(OR($E43="",$F43=""),"",IF(AND(AC$5&lt;=$F43,AC$5+6&gt;=$E43),"■",""))</x:f>
      </x:c>
      <x:c r="AD43" s="42" t="str">
        <x:f>IF(OR($E43="",$F43=""),"",IF(AND(AD$5&lt;=$F43,AD$5+6&gt;=$E43),"■",""))</x:f>
      </x:c>
      <x:c r="AE43" s="42" t="str">
        <x:f>IF(OR($E43="",$F43=""),"",IF(AND(AE$5&lt;=$F43,AE$5+6&gt;=$E43),"■",""))</x:f>
      </x:c>
      <x:c r="AF43" s="42" t="str">
        <x:f>IF(OR($E43="",$F43=""),"",IF(AND(AF$5&lt;=$F43,AF$5+6&gt;=$E43),"■",""))</x:f>
      </x:c>
      <x:c r="AG43" s="42" t="str">
        <x:f>IF(OR($E43="",$F43=""),"",IF(AND(AG$5&lt;=$F43,AG$5+6&gt;=$E43),"■",""))</x:f>
      </x:c>
      <x:c r="AH43" s="42" t="str">
        <x:f>IF(OR($E43="",$F43=""),"",IF(AND(AH$5&lt;=$F43,AH$5+6&gt;=$E43),"■",""))</x:f>
      </x:c>
      <x:c r="AI43" s="42" t="str">
        <x:f>IF(OR($E43="",$F43=""),"",IF(AND(AI$5&lt;=$F43,AI$5+6&gt;=$E43),"■",""))</x:f>
      </x:c>
      <x:c r="AJ43" s="42" t="str">
        <x:f>IF(OR($E43="",$F43=""),"",IF(AND(AJ$5&lt;=$F43,AJ$5+6&gt;=$E43),"■",""))</x:f>
      </x:c>
      <x:c r="AK43" s="42" t="str">
        <x:f>IF(OR($E43="",$F43=""),"",IF(AND(AK$5&lt;=$F43,AK$5+6&gt;=$E43),"■",""))</x:f>
      </x:c>
    </x:row>
    <x:row r="44" ht="28" customHeight="1">
      <x:c r="A44" s="26" t="str">
        <x:v>UX-R6-001</x:v>
      </x:c>
      <x:c r="B44" s="26" t="str">
        <x:v>Text/Provider/Budget States</x:v>
      </x:c>
      <x:c r="C44" s="26" t="str">
        <x:v>Backlog</x:v>
      </x:c>
      <x:c r="D44" s="26" t="str">
        <x:v>R6</x:v>
      </x:c>
      <x:c r="E44" s="31" t="n">
        <x:v>46372</x:v>
      </x:c>
      <x:c r="F44" s="31" t="n">
        <x:v>46378</x:v>
      </x:c>
      <x:c r="G44" s="42" t="str">
        <x:f>IF(OR($E44="",$F44=""),"",IF(AND(G$5&lt;=$F44,G$5+6&gt;=$E44),"■",""))</x:f>
      </x:c>
      <x:c r="H44" s="42" t="str">
        <x:f>IF(OR($E44="",$F44=""),"",IF(AND(H$5&lt;=$F44,H$5+6&gt;=$E44),"■",""))</x:f>
      </x:c>
      <x:c r="I44" s="42" t="str">
        <x:f>IF(OR($E44="",$F44=""),"",IF(AND(I$5&lt;=$F44,I$5+6&gt;=$E44),"■",""))</x:f>
      </x:c>
      <x:c r="J44" s="42" t="str">
        <x:f>IF(OR($E44="",$F44=""),"",IF(AND(J$5&lt;=$F44,J$5+6&gt;=$E44),"■",""))</x:f>
      </x:c>
      <x:c r="K44" s="42" t="str">
        <x:f>IF(OR($E44="",$F44=""),"",IF(AND(K$5&lt;=$F44,K$5+6&gt;=$E44),"■",""))</x:f>
      </x:c>
      <x:c r="L44" s="42" t="str">
        <x:f>IF(OR($E44="",$F44=""),"",IF(AND(L$5&lt;=$F44,L$5+6&gt;=$E44),"■",""))</x:f>
      </x:c>
      <x:c r="M44" s="42" t="str">
        <x:f>IF(OR($E44="",$F44=""),"",IF(AND(M$5&lt;=$F44,M$5+6&gt;=$E44),"■",""))</x:f>
      </x:c>
      <x:c r="N44" s="42" t="str">
        <x:f>IF(OR($E44="",$F44=""),"",IF(AND(N$5&lt;=$F44,N$5+6&gt;=$E44),"■",""))</x:f>
      </x:c>
      <x:c r="O44" s="42" t="str">
        <x:f>IF(OR($E44="",$F44=""),"",IF(AND(O$5&lt;=$F44,O$5+6&gt;=$E44),"■",""))</x:f>
      </x:c>
      <x:c r="P44" s="42" t="str">
        <x:f>IF(OR($E44="",$F44=""),"",IF(AND(P$5&lt;=$F44,P$5+6&gt;=$E44),"■",""))</x:f>
      </x:c>
      <x:c r="Q44" s="42" t="str">
        <x:f>IF(OR($E44="",$F44=""),"",IF(AND(Q$5&lt;=$F44,Q$5+6&gt;=$E44),"■",""))</x:f>
      </x:c>
      <x:c r="R44" s="42" t="str">
        <x:f>IF(OR($E44="",$F44=""),"",IF(AND(R$5&lt;=$F44,R$5+6&gt;=$E44),"■",""))</x:f>
      </x:c>
      <x:c r="S44" s="42" t="str">
        <x:f>IF(OR($E44="",$F44=""),"",IF(AND(S$5&lt;=$F44,S$5+6&gt;=$E44),"■",""))</x:f>
      </x:c>
      <x:c r="T44" s="42" t="str">
        <x:f>IF(OR($E44="",$F44=""),"",IF(AND(T$5&lt;=$F44,T$5+6&gt;=$E44),"■",""))</x:f>
      </x:c>
      <x:c r="U44" s="42" t="str">
        <x:f>IF(OR($E44="",$F44=""),"",IF(AND(U$5&lt;=$F44,U$5+6&gt;=$E44),"■",""))</x:f>
      </x:c>
      <x:c r="V44" s="42" t="str">
        <x:f>IF(OR($E44="",$F44=""),"",IF(AND(V$5&lt;=$F44,V$5+6&gt;=$E44),"■",""))</x:f>
      </x:c>
      <x:c r="W44" s="42" t="str">
        <x:f>IF(OR($E44="",$F44=""),"",IF(AND(W$5&lt;=$F44,W$5+6&gt;=$E44),"■",""))</x:f>
      </x:c>
      <x:c r="X44" s="42" t="str">
        <x:f>IF(OR($E44="",$F44=""),"",IF(AND(X$5&lt;=$F44,X$5+6&gt;=$E44),"■",""))</x:f>
        <x:v>■</x:v>
      </x:c>
      <x:c r="Y44" s="42" t="str">
        <x:f>IF(OR($E44="",$F44=""),"",IF(AND(Y$5&lt;=$F44,Y$5+6&gt;=$E44),"■",""))</x:f>
        <x:v>■</x:v>
      </x:c>
      <x:c r="Z44" s="42" t="str">
        <x:f>IF(OR($E44="",$F44=""),"",IF(AND(Z$5&lt;=$F44,Z$5+6&gt;=$E44),"■",""))</x:f>
      </x:c>
      <x:c r="AA44" s="42" t="str">
        <x:f>IF(OR($E44="",$F44=""),"",IF(AND(AA$5&lt;=$F44,AA$5+6&gt;=$E44),"■",""))</x:f>
      </x:c>
      <x:c r="AB44" s="42" t="str">
        <x:f>IF(OR($E44="",$F44=""),"",IF(AND(AB$5&lt;=$F44,AB$5+6&gt;=$E44),"■",""))</x:f>
      </x:c>
      <x:c r="AC44" s="42" t="str">
        <x:f>IF(OR($E44="",$F44=""),"",IF(AND(AC$5&lt;=$F44,AC$5+6&gt;=$E44),"■",""))</x:f>
      </x:c>
      <x:c r="AD44" s="42" t="str">
        <x:f>IF(OR($E44="",$F44=""),"",IF(AND(AD$5&lt;=$F44,AD$5+6&gt;=$E44),"■",""))</x:f>
      </x:c>
      <x:c r="AE44" s="42" t="str">
        <x:f>IF(OR($E44="",$F44=""),"",IF(AND(AE$5&lt;=$F44,AE$5+6&gt;=$E44),"■",""))</x:f>
      </x:c>
      <x:c r="AF44" s="42" t="str">
        <x:f>IF(OR($E44="",$F44=""),"",IF(AND(AF$5&lt;=$F44,AF$5+6&gt;=$E44),"■",""))</x:f>
      </x:c>
      <x:c r="AG44" s="42" t="str">
        <x:f>IF(OR($E44="",$F44=""),"",IF(AND(AG$5&lt;=$F44,AG$5+6&gt;=$E44),"■",""))</x:f>
      </x:c>
      <x:c r="AH44" s="42" t="str">
        <x:f>IF(OR($E44="",$F44=""),"",IF(AND(AH$5&lt;=$F44,AH$5+6&gt;=$E44),"■",""))</x:f>
      </x:c>
      <x:c r="AI44" s="42" t="str">
        <x:f>IF(OR($E44="",$F44=""),"",IF(AND(AI$5&lt;=$F44,AI$5+6&gt;=$E44),"■",""))</x:f>
      </x:c>
      <x:c r="AJ44" s="42" t="str">
        <x:f>IF(OR($E44="",$F44=""),"",IF(AND(AJ$5&lt;=$F44,AJ$5+6&gt;=$E44),"■",""))</x:f>
      </x:c>
      <x:c r="AK44" s="42" t="str">
        <x:f>IF(OR($E44="",$F44=""),"",IF(AND(AK$5&lt;=$F44,AK$5+6&gt;=$E44),"■",""))</x:f>
      </x:c>
    </x:row>
    <x:row r="45" ht="28" customHeight="1">
      <x:c r="A45" s="26" t="str">
        <x:v>ARCH-R6-001</x:v>
      </x:c>
      <x:c r="B45" s="26" t="str">
        <x:v>Text Adapter/Jobs/Budget/Provenance</x:v>
      </x:c>
      <x:c r="C45" s="26" t="str">
        <x:v>Backlog</x:v>
      </x:c>
      <x:c r="D45" s="26" t="str">
        <x:v>R6</x:v>
      </x:c>
      <x:c r="E45" s="31" t="n">
        <x:v>46372</x:v>
      </x:c>
      <x:c r="F45" s="31" t="n">
        <x:v>46378</x:v>
      </x:c>
      <x:c r="G45" s="42" t="str">
        <x:f>IF(OR($E45="",$F45=""),"",IF(AND(G$5&lt;=$F45,G$5+6&gt;=$E45),"■",""))</x:f>
      </x:c>
      <x:c r="H45" s="42" t="str">
        <x:f>IF(OR($E45="",$F45=""),"",IF(AND(H$5&lt;=$F45,H$5+6&gt;=$E45),"■",""))</x:f>
      </x:c>
      <x:c r="I45" s="42" t="str">
        <x:f>IF(OR($E45="",$F45=""),"",IF(AND(I$5&lt;=$F45,I$5+6&gt;=$E45),"■",""))</x:f>
      </x:c>
      <x:c r="J45" s="42" t="str">
        <x:f>IF(OR($E45="",$F45=""),"",IF(AND(J$5&lt;=$F45,J$5+6&gt;=$E45),"■",""))</x:f>
      </x:c>
      <x:c r="K45" s="42" t="str">
        <x:f>IF(OR($E45="",$F45=""),"",IF(AND(K$5&lt;=$F45,K$5+6&gt;=$E45),"■",""))</x:f>
      </x:c>
      <x:c r="L45" s="42" t="str">
        <x:f>IF(OR($E45="",$F45=""),"",IF(AND(L$5&lt;=$F45,L$5+6&gt;=$E45),"■",""))</x:f>
      </x:c>
      <x:c r="M45" s="42" t="str">
        <x:f>IF(OR($E45="",$F45=""),"",IF(AND(M$5&lt;=$F45,M$5+6&gt;=$E45),"■",""))</x:f>
      </x:c>
      <x:c r="N45" s="42" t="str">
        <x:f>IF(OR($E45="",$F45=""),"",IF(AND(N$5&lt;=$F45,N$5+6&gt;=$E45),"■",""))</x:f>
      </x:c>
      <x:c r="O45" s="42" t="str">
        <x:f>IF(OR($E45="",$F45=""),"",IF(AND(O$5&lt;=$F45,O$5+6&gt;=$E45),"■",""))</x:f>
      </x:c>
      <x:c r="P45" s="42" t="str">
        <x:f>IF(OR($E45="",$F45=""),"",IF(AND(P$5&lt;=$F45,P$5+6&gt;=$E45),"■",""))</x:f>
      </x:c>
      <x:c r="Q45" s="42" t="str">
        <x:f>IF(OR($E45="",$F45=""),"",IF(AND(Q$5&lt;=$F45,Q$5+6&gt;=$E45),"■",""))</x:f>
      </x:c>
      <x:c r="R45" s="42" t="str">
        <x:f>IF(OR($E45="",$F45=""),"",IF(AND(R$5&lt;=$F45,R$5+6&gt;=$E45),"■",""))</x:f>
      </x:c>
      <x:c r="S45" s="42" t="str">
        <x:f>IF(OR($E45="",$F45=""),"",IF(AND(S$5&lt;=$F45,S$5+6&gt;=$E45),"■",""))</x:f>
      </x:c>
      <x:c r="T45" s="42" t="str">
        <x:f>IF(OR($E45="",$F45=""),"",IF(AND(T$5&lt;=$F45,T$5+6&gt;=$E45),"■",""))</x:f>
      </x:c>
      <x:c r="U45" s="42" t="str">
        <x:f>IF(OR($E45="",$F45=""),"",IF(AND(U$5&lt;=$F45,U$5+6&gt;=$E45),"■",""))</x:f>
      </x:c>
      <x:c r="V45" s="42" t="str">
        <x:f>IF(OR($E45="",$F45=""),"",IF(AND(V$5&lt;=$F45,V$5+6&gt;=$E45),"■",""))</x:f>
      </x:c>
      <x:c r="W45" s="42" t="str">
        <x:f>IF(OR($E45="",$F45=""),"",IF(AND(W$5&lt;=$F45,W$5+6&gt;=$E45),"■",""))</x:f>
      </x:c>
      <x:c r="X45" s="42" t="str">
        <x:f>IF(OR($E45="",$F45=""),"",IF(AND(X$5&lt;=$F45,X$5+6&gt;=$E45),"■",""))</x:f>
        <x:v>■</x:v>
      </x:c>
      <x:c r="Y45" s="42" t="str">
        <x:f>IF(OR($E45="",$F45=""),"",IF(AND(Y$5&lt;=$F45,Y$5+6&gt;=$E45),"■",""))</x:f>
        <x:v>■</x:v>
      </x:c>
      <x:c r="Z45" s="42" t="str">
        <x:f>IF(OR($E45="",$F45=""),"",IF(AND(Z$5&lt;=$F45,Z$5+6&gt;=$E45),"■",""))</x:f>
      </x:c>
      <x:c r="AA45" s="42" t="str">
        <x:f>IF(OR($E45="",$F45=""),"",IF(AND(AA$5&lt;=$F45,AA$5+6&gt;=$E45),"■",""))</x:f>
      </x:c>
      <x:c r="AB45" s="42" t="str">
        <x:f>IF(OR($E45="",$F45=""),"",IF(AND(AB$5&lt;=$F45,AB$5+6&gt;=$E45),"■",""))</x:f>
      </x:c>
      <x:c r="AC45" s="42" t="str">
        <x:f>IF(OR($E45="",$F45=""),"",IF(AND(AC$5&lt;=$F45,AC$5+6&gt;=$E45),"■",""))</x:f>
      </x:c>
      <x:c r="AD45" s="42" t="str">
        <x:f>IF(OR($E45="",$F45=""),"",IF(AND(AD$5&lt;=$F45,AD$5+6&gt;=$E45),"■",""))</x:f>
      </x:c>
      <x:c r="AE45" s="42" t="str">
        <x:f>IF(OR($E45="",$F45=""),"",IF(AND(AE$5&lt;=$F45,AE$5+6&gt;=$E45),"■",""))</x:f>
      </x:c>
      <x:c r="AF45" s="42" t="str">
        <x:f>IF(OR($E45="",$F45=""),"",IF(AND(AF$5&lt;=$F45,AF$5+6&gt;=$E45),"■",""))</x:f>
      </x:c>
      <x:c r="AG45" s="42" t="str">
        <x:f>IF(OR($E45="",$F45=""),"",IF(AND(AG$5&lt;=$F45,AG$5+6&gt;=$E45),"■",""))</x:f>
      </x:c>
      <x:c r="AH45" s="42" t="str">
        <x:f>IF(OR($E45="",$F45=""),"",IF(AND(AH$5&lt;=$F45,AH$5+6&gt;=$E45),"■",""))</x:f>
      </x:c>
      <x:c r="AI45" s="42" t="str">
        <x:f>IF(OR($E45="",$F45=""),"",IF(AND(AI$5&lt;=$F45,AI$5+6&gt;=$E45),"■",""))</x:f>
      </x:c>
      <x:c r="AJ45" s="42" t="str">
        <x:f>IF(OR($E45="",$F45=""),"",IF(AND(AJ$5&lt;=$F45,AJ$5+6&gt;=$E45),"■",""))</x:f>
      </x:c>
      <x:c r="AK45" s="42" t="str">
        <x:f>IF(OR($E45="",$F45=""),"",IF(AND(AK$5&lt;=$F45,AK$5+6&gt;=$E45),"■",""))</x:f>
      </x:c>
    </x:row>
    <x:row r="46" ht="28" customHeight="1">
      <x:c r="A46" s="26" t="str">
        <x:v>ENG-R6-001</x:v>
      </x:c>
      <x:c r="B46" s="26" t="str">
        <x:v>Text Derivation &amp; Protected Fields</x:v>
      </x:c>
      <x:c r="C46" s="26" t="str">
        <x:v>Backlog</x:v>
      </x:c>
      <x:c r="D46" s="26" t="str">
        <x:v>R6</x:v>
      </x:c>
      <x:c r="E46" s="31" t="n">
        <x:v>46377</x:v>
      </x:c>
      <x:c r="F46" s="31" t="n">
        <x:v>46393</x:v>
      </x:c>
      <x:c r="G46" s="42" t="str">
        <x:f>IF(OR($E46="",$F46=""),"",IF(AND(G$5&lt;=$F46,G$5+6&gt;=$E46),"■",""))</x:f>
      </x:c>
      <x:c r="H46" s="42" t="str">
        <x:f>IF(OR($E46="",$F46=""),"",IF(AND(H$5&lt;=$F46,H$5+6&gt;=$E46),"■",""))</x:f>
      </x:c>
      <x:c r="I46" s="42" t="str">
        <x:f>IF(OR($E46="",$F46=""),"",IF(AND(I$5&lt;=$F46,I$5+6&gt;=$E46),"■",""))</x:f>
      </x:c>
      <x:c r="J46" s="42" t="str">
        <x:f>IF(OR($E46="",$F46=""),"",IF(AND(J$5&lt;=$F46,J$5+6&gt;=$E46),"■",""))</x:f>
      </x:c>
      <x:c r="K46" s="42" t="str">
        <x:f>IF(OR($E46="",$F46=""),"",IF(AND(K$5&lt;=$F46,K$5+6&gt;=$E46),"■",""))</x:f>
      </x:c>
      <x:c r="L46" s="42" t="str">
        <x:f>IF(OR($E46="",$F46=""),"",IF(AND(L$5&lt;=$F46,L$5+6&gt;=$E46),"■",""))</x:f>
      </x:c>
      <x:c r="M46" s="42" t="str">
        <x:f>IF(OR($E46="",$F46=""),"",IF(AND(M$5&lt;=$F46,M$5+6&gt;=$E46),"■",""))</x:f>
      </x:c>
      <x:c r="N46" s="42" t="str">
        <x:f>IF(OR($E46="",$F46=""),"",IF(AND(N$5&lt;=$F46,N$5+6&gt;=$E46),"■",""))</x:f>
      </x:c>
      <x:c r="O46" s="42" t="str">
        <x:f>IF(OR($E46="",$F46=""),"",IF(AND(O$5&lt;=$F46,O$5+6&gt;=$E46),"■",""))</x:f>
      </x:c>
      <x:c r="P46" s="42" t="str">
        <x:f>IF(OR($E46="",$F46=""),"",IF(AND(P$5&lt;=$F46,P$5+6&gt;=$E46),"■",""))</x:f>
      </x:c>
      <x:c r="Q46" s="42" t="str">
        <x:f>IF(OR($E46="",$F46=""),"",IF(AND(Q$5&lt;=$F46,Q$5+6&gt;=$E46),"■",""))</x:f>
      </x:c>
      <x:c r="R46" s="42" t="str">
        <x:f>IF(OR($E46="",$F46=""),"",IF(AND(R$5&lt;=$F46,R$5+6&gt;=$E46),"■",""))</x:f>
      </x:c>
      <x:c r="S46" s="42" t="str">
        <x:f>IF(OR($E46="",$F46=""),"",IF(AND(S$5&lt;=$F46,S$5+6&gt;=$E46),"■",""))</x:f>
      </x:c>
      <x:c r="T46" s="42" t="str">
        <x:f>IF(OR($E46="",$F46=""),"",IF(AND(T$5&lt;=$F46,T$5+6&gt;=$E46),"■",""))</x:f>
      </x:c>
      <x:c r="U46" s="42" t="str">
        <x:f>IF(OR($E46="",$F46=""),"",IF(AND(U$5&lt;=$F46,U$5+6&gt;=$E46),"■",""))</x:f>
      </x:c>
      <x:c r="V46" s="42" t="str">
        <x:f>IF(OR($E46="",$F46=""),"",IF(AND(V$5&lt;=$F46,V$5+6&gt;=$E46),"■",""))</x:f>
      </x:c>
      <x:c r="W46" s="42" t="str">
        <x:f>IF(OR($E46="",$F46=""),"",IF(AND(W$5&lt;=$F46,W$5+6&gt;=$E46),"■",""))</x:f>
      </x:c>
      <x:c r="X46" s="42" t="str">
        <x:f>IF(OR($E46="",$F46=""),"",IF(AND(X$5&lt;=$F46,X$5+6&gt;=$E46),"■",""))</x:f>
      </x:c>
      <x:c r="Y46" s="42" t="str">
        <x:f>IF(OR($E46="",$F46=""),"",IF(AND(Y$5&lt;=$F46,Y$5+6&gt;=$E46),"■",""))</x:f>
        <x:v>■</x:v>
      </x:c>
      <x:c r="Z46" s="42" t="str">
        <x:f>IF(OR($E46="",$F46=""),"",IF(AND(Z$5&lt;=$F46,Z$5+6&gt;=$E46),"■",""))</x:f>
        <x:v>■</x:v>
      </x:c>
      <x:c r="AA46" s="42" t="str">
        <x:f>IF(OR($E46="",$F46=""),"",IF(AND(AA$5&lt;=$F46,AA$5+6&gt;=$E46),"■",""))</x:f>
        <x:v>■</x:v>
      </x:c>
      <x:c r="AB46" s="42" t="str">
        <x:f>IF(OR($E46="",$F46=""),"",IF(AND(AB$5&lt;=$F46,AB$5+6&gt;=$E46),"■",""))</x:f>
      </x:c>
      <x:c r="AC46" s="42" t="str">
        <x:f>IF(OR($E46="",$F46=""),"",IF(AND(AC$5&lt;=$F46,AC$5+6&gt;=$E46),"■",""))</x:f>
      </x:c>
      <x:c r="AD46" s="42" t="str">
        <x:f>IF(OR($E46="",$F46=""),"",IF(AND(AD$5&lt;=$F46,AD$5+6&gt;=$E46),"■",""))</x:f>
      </x:c>
      <x:c r="AE46" s="42" t="str">
        <x:f>IF(OR($E46="",$F46=""),"",IF(AND(AE$5&lt;=$F46,AE$5+6&gt;=$E46),"■",""))</x:f>
      </x:c>
      <x:c r="AF46" s="42" t="str">
        <x:f>IF(OR($E46="",$F46=""),"",IF(AND(AF$5&lt;=$F46,AF$5+6&gt;=$E46),"■",""))</x:f>
      </x:c>
      <x:c r="AG46" s="42" t="str">
        <x:f>IF(OR($E46="",$F46=""),"",IF(AND(AG$5&lt;=$F46,AG$5+6&gt;=$E46),"■",""))</x:f>
      </x:c>
      <x:c r="AH46" s="42" t="str">
        <x:f>IF(OR($E46="",$F46=""),"",IF(AND(AH$5&lt;=$F46,AH$5+6&gt;=$E46),"■",""))</x:f>
      </x:c>
      <x:c r="AI46" s="42" t="str">
        <x:f>IF(OR($E46="",$F46=""),"",IF(AND(AI$5&lt;=$F46,AI$5+6&gt;=$E46),"■",""))</x:f>
      </x:c>
      <x:c r="AJ46" s="42" t="str">
        <x:f>IF(OR($E46="",$F46=""),"",IF(AND(AJ$5&lt;=$F46,AJ$5+6&gt;=$E46),"■",""))</x:f>
      </x:c>
      <x:c r="AK46" s="42" t="str">
        <x:f>IF(OR($E46="",$F46=""),"",IF(AND(AK$5&lt;=$F46,AK$5+6&gt;=$E46),"■",""))</x:f>
      </x:c>
    </x:row>
    <x:row r="47" ht="28" customHeight="1">
      <x:c r="A47" s="26" t="str">
        <x:v>REL-R6-001</x:v>
      </x:c>
      <x:c r="B47" s="26" t="str">
        <x:v>Text Privacy/Quality/Restore Acceptance</x:v>
      </x:c>
      <x:c r="C47" s="26" t="str">
        <x:v>Backlog</x:v>
      </x:c>
      <x:c r="D47" s="26" t="str">
        <x:v>R6</x:v>
      </x:c>
      <x:c r="E47" s="31" t="n">
        <x:v>46394</x:v>
      </x:c>
      <x:c r="F47" s="31" t="n">
        <x:v>46395</x:v>
      </x:c>
      <x:c r="G47" s="42" t="str">
        <x:f>IF(OR($E47="",$F47=""),"",IF(AND(G$5&lt;=$F47,G$5+6&gt;=$E47),"■",""))</x:f>
      </x:c>
      <x:c r="H47" s="42" t="str">
        <x:f>IF(OR($E47="",$F47=""),"",IF(AND(H$5&lt;=$F47,H$5+6&gt;=$E47),"■",""))</x:f>
      </x:c>
      <x:c r="I47" s="42" t="str">
        <x:f>IF(OR($E47="",$F47=""),"",IF(AND(I$5&lt;=$F47,I$5+6&gt;=$E47),"■",""))</x:f>
      </x:c>
      <x:c r="J47" s="42" t="str">
        <x:f>IF(OR($E47="",$F47=""),"",IF(AND(J$5&lt;=$F47,J$5+6&gt;=$E47),"■",""))</x:f>
      </x:c>
      <x:c r="K47" s="42" t="str">
        <x:f>IF(OR($E47="",$F47=""),"",IF(AND(K$5&lt;=$F47,K$5+6&gt;=$E47),"■",""))</x:f>
      </x:c>
      <x:c r="L47" s="42" t="str">
        <x:f>IF(OR($E47="",$F47=""),"",IF(AND(L$5&lt;=$F47,L$5+6&gt;=$E47),"■",""))</x:f>
      </x:c>
      <x:c r="M47" s="42" t="str">
        <x:f>IF(OR($E47="",$F47=""),"",IF(AND(M$5&lt;=$F47,M$5+6&gt;=$E47),"■",""))</x:f>
      </x:c>
      <x:c r="N47" s="42" t="str">
        <x:f>IF(OR($E47="",$F47=""),"",IF(AND(N$5&lt;=$F47,N$5+6&gt;=$E47),"■",""))</x:f>
      </x:c>
      <x:c r="O47" s="42" t="str">
        <x:f>IF(OR($E47="",$F47=""),"",IF(AND(O$5&lt;=$F47,O$5+6&gt;=$E47),"■",""))</x:f>
      </x:c>
      <x:c r="P47" s="42" t="str">
        <x:f>IF(OR($E47="",$F47=""),"",IF(AND(P$5&lt;=$F47,P$5+6&gt;=$E47),"■",""))</x:f>
      </x:c>
      <x:c r="Q47" s="42" t="str">
        <x:f>IF(OR($E47="",$F47=""),"",IF(AND(Q$5&lt;=$F47,Q$5+6&gt;=$E47),"■",""))</x:f>
      </x:c>
      <x:c r="R47" s="42" t="str">
        <x:f>IF(OR($E47="",$F47=""),"",IF(AND(R$5&lt;=$F47,R$5+6&gt;=$E47),"■",""))</x:f>
      </x:c>
      <x:c r="S47" s="42" t="str">
        <x:f>IF(OR($E47="",$F47=""),"",IF(AND(S$5&lt;=$F47,S$5+6&gt;=$E47),"■",""))</x:f>
      </x:c>
      <x:c r="T47" s="42" t="str">
        <x:f>IF(OR($E47="",$F47=""),"",IF(AND(T$5&lt;=$F47,T$5+6&gt;=$E47),"■",""))</x:f>
      </x:c>
      <x:c r="U47" s="42" t="str">
        <x:f>IF(OR($E47="",$F47=""),"",IF(AND(U$5&lt;=$F47,U$5+6&gt;=$E47),"■",""))</x:f>
      </x:c>
      <x:c r="V47" s="42" t="str">
        <x:f>IF(OR($E47="",$F47=""),"",IF(AND(V$5&lt;=$F47,V$5+6&gt;=$E47),"■",""))</x:f>
      </x:c>
      <x:c r="W47" s="42" t="str">
        <x:f>IF(OR($E47="",$F47=""),"",IF(AND(W$5&lt;=$F47,W$5+6&gt;=$E47),"■",""))</x:f>
      </x:c>
      <x:c r="X47" s="42" t="str">
        <x:f>IF(OR($E47="",$F47=""),"",IF(AND(X$5&lt;=$F47,X$5+6&gt;=$E47),"■",""))</x:f>
      </x:c>
      <x:c r="Y47" s="42" t="str">
        <x:f>IF(OR($E47="",$F47=""),"",IF(AND(Y$5&lt;=$F47,Y$5+6&gt;=$E47),"■",""))</x:f>
      </x:c>
      <x:c r="Z47" s="42" t="str">
        <x:f>IF(OR($E47="",$F47=""),"",IF(AND(Z$5&lt;=$F47,Z$5+6&gt;=$E47),"■",""))</x:f>
      </x:c>
      <x:c r="AA47" s="42" t="str">
        <x:f>IF(OR($E47="",$F47=""),"",IF(AND(AA$5&lt;=$F47,AA$5+6&gt;=$E47),"■",""))</x:f>
        <x:v>■</x:v>
      </x:c>
      <x:c r="AB47" s="42" t="str">
        <x:f>IF(OR($E47="",$F47=""),"",IF(AND(AB$5&lt;=$F47,AB$5+6&gt;=$E47),"■",""))</x:f>
      </x:c>
      <x:c r="AC47" s="42" t="str">
        <x:f>IF(OR($E47="",$F47=""),"",IF(AND(AC$5&lt;=$F47,AC$5+6&gt;=$E47),"■",""))</x:f>
      </x:c>
      <x:c r="AD47" s="42" t="str">
        <x:f>IF(OR($E47="",$F47=""),"",IF(AND(AD$5&lt;=$F47,AD$5+6&gt;=$E47),"■",""))</x:f>
      </x:c>
      <x:c r="AE47" s="42" t="str">
        <x:f>IF(OR($E47="",$F47=""),"",IF(AND(AE$5&lt;=$F47,AE$5+6&gt;=$E47),"■",""))</x:f>
      </x:c>
      <x:c r="AF47" s="42" t="str">
        <x:f>IF(OR($E47="",$F47=""),"",IF(AND(AF$5&lt;=$F47,AF$5+6&gt;=$E47),"■",""))</x:f>
      </x:c>
      <x:c r="AG47" s="42" t="str">
        <x:f>IF(OR($E47="",$F47=""),"",IF(AND(AG$5&lt;=$F47,AG$5+6&gt;=$E47),"■",""))</x:f>
      </x:c>
      <x:c r="AH47" s="42" t="str">
        <x:f>IF(OR($E47="",$F47=""),"",IF(AND(AH$5&lt;=$F47,AH$5+6&gt;=$E47),"■",""))</x:f>
      </x:c>
      <x:c r="AI47" s="42" t="str">
        <x:f>IF(OR($E47="",$F47=""),"",IF(AND(AI$5&lt;=$F47,AI$5+6&gt;=$E47),"■",""))</x:f>
      </x:c>
      <x:c r="AJ47" s="42" t="str">
        <x:f>IF(OR($E47="",$F47=""),"",IF(AND(AJ$5&lt;=$F47,AJ$5+6&gt;=$E47),"■",""))</x:f>
      </x:c>
      <x:c r="AK47" s="42" t="str">
        <x:f>IF(OR($E47="",$F47=""),"",IF(AND(AK$5&lt;=$F47,AK$5+6&gt;=$E47),"■",""))</x:f>
      </x:c>
    </x:row>
    <x:row r="48" ht="28" customHeight="1">
      <x:c r="A48" s="26" t="str">
        <x:v>EVAL-R7-001</x:v>
      </x:c>
      <x:c r="B48" s="26" t="str">
        <x:v>Artwork Model Evaluation</x:v>
      </x:c>
      <x:c r="C48" s="26" t="str">
        <x:v>Backlog</x:v>
      </x:c>
      <x:c r="D48" s="26" t="str">
        <x:v>R7</x:v>
      </x:c>
      <x:c r="E48" s="31" t="n">
        <x:v>46398</x:v>
      </x:c>
      <x:c r="F48" s="31" t="n">
        <x:v>46400</x:v>
      </x:c>
      <x:c r="G48" s="42" t="str">
        <x:f>IF(OR($E48="",$F48=""),"",IF(AND(G$5&lt;=$F48,G$5+6&gt;=$E48),"■",""))</x:f>
      </x:c>
      <x:c r="H48" s="42" t="str">
        <x:f>IF(OR($E48="",$F48=""),"",IF(AND(H$5&lt;=$F48,H$5+6&gt;=$E48),"■",""))</x:f>
      </x:c>
      <x:c r="I48" s="42" t="str">
        <x:f>IF(OR($E48="",$F48=""),"",IF(AND(I$5&lt;=$F48,I$5+6&gt;=$E48),"■",""))</x:f>
      </x:c>
      <x:c r="J48" s="42" t="str">
        <x:f>IF(OR($E48="",$F48=""),"",IF(AND(J$5&lt;=$F48,J$5+6&gt;=$E48),"■",""))</x:f>
      </x:c>
      <x:c r="K48" s="42" t="str">
        <x:f>IF(OR($E48="",$F48=""),"",IF(AND(K$5&lt;=$F48,K$5+6&gt;=$E48),"■",""))</x:f>
      </x:c>
      <x:c r="L48" s="42" t="str">
        <x:f>IF(OR($E48="",$F48=""),"",IF(AND(L$5&lt;=$F48,L$5+6&gt;=$E48),"■",""))</x:f>
      </x:c>
      <x:c r="M48" s="42" t="str">
        <x:f>IF(OR($E48="",$F48=""),"",IF(AND(M$5&lt;=$F48,M$5+6&gt;=$E48),"■",""))</x:f>
      </x:c>
      <x:c r="N48" s="42" t="str">
        <x:f>IF(OR($E48="",$F48=""),"",IF(AND(N$5&lt;=$F48,N$5+6&gt;=$E48),"■",""))</x:f>
      </x:c>
      <x:c r="O48" s="42" t="str">
        <x:f>IF(OR($E48="",$F48=""),"",IF(AND(O$5&lt;=$F48,O$5+6&gt;=$E48),"■",""))</x:f>
      </x:c>
      <x:c r="P48" s="42" t="str">
        <x:f>IF(OR($E48="",$F48=""),"",IF(AND(P$5&lt;=$F48,P$5+6&gt;=$E48),"■",""))</x:f>
      </x:c>
      <x:c r="Q48" s="42" t="str">
        <x:f>IF(OR($E48="",$F48=""),"",IF(AND(Q$5&lt;=$F48,Q$5+6&gt;=$E48),"■",""))</x:f>
      </x:c>
      <x:c r="R48" s="42" t="str">
        <x:f>IF(OR($E48="",$F48=""),"",IF(AND(R$5&lt;=$F48,R$5+6&gt;=$E48),"■",""))</x:f>
      </x:c>
      <x:c r="S48" s="42" t="str">
        <x:f>IF(OR($E48="",$F48=""),"",IF(AND(S$5&lt;=$F48,S$5+6&gt;=$E48),"■",""))</x:f>
      </x:c>
      <x:c r="T48" s="42" t="str">
        <x:f>IF(OR($E48="",$F48=""),"",IF(AND(T$5&lt;=$F48,T$5+6&gt;=$E48),"■",""))</x:f>
      </x:c>
      <x:c r="U48" s="42" t="str">
        <x:f>IF(OR($E48="",$F48=""),"",IF(AND(U$5&lt;=$F48,U$5+6&gt;=$E48),"■",""))</x:f>
      </x:c>
      <x:c r="V48" s="42" t="str">
        <x:f>IF(OR($E48="",$F48=""),"",IF(AND(V$5&lt;=$F48,V$5+6&gt;=$E48),"■",""))</x:f>
      </x:c>
      <x:c r="W48" s="42" t="str">
        <x:f>IF(OR($E48="",$F48=""),"",IF(AND(W$5&lt;=$F48,W$5+6&gt;=$E48),"■",""))</x:f>
      </x:c>
      <x:c r="X48" s="42" t="str">
        <x:f>IF(OR($E48="",$F48=""),"",IF(AND(X$5&lt;=$F48,X$5+6&gt;=$E48),"■",""))</x:f>
      </x:c>
      <x:c r="Y48" s="42" t="str">
        <x:f>IF(OR($E48="",$F48=""),"",IF(AND(Y$5&lt;=$F48,Y$5+6&gt;=$E48),"■",""))</x:f>
      </x:c>
      <x:c r="Z48" s="42" t="str">
        <x:f>IF(OR($E48="",$F48=""),"",IF(AND(Z$5&lt;=$F48,Z$5+6&gt;=$E48),"■",""))</x:f>
      </x:c>
      <x:c r="AA48" s="42" t="str">
        <x:f>IF(OR($E48="",$F48=""),"",IF(AND(AA$5&lt;=$F48,AA$5+6&gt;=$E48),"■",""))</x:f>
      </x:c>
      <x:c r="AB48" s="42" t="str">
        <x:f>IF(OR($E48="",$F48=""),"",IF(AND(AB$5&lt;=$F48,AB$5+6&gt;=$E48),"■",""))</x:f>
        <x:v>■</x:v>
      </x:c>
      <x:c r="AC48" s="42" t="str">
        <x:f>IF(OR($E48="",$F48=""),"",IF(AND(AC$5&lt;=$F48,AC$5+6&gt;=$E48),"■",""))</x:f>
      </x:c>
      <x:c r="AD48" s="42" t="str">
        <x:f>IF(OR($E48="",$F48=""),"",IF(AND(AD$5&lt;=$F48,AD$5+6&gt;=$E48),"■",""))</x:f>
      </x:c>
      <x:c r="AE48" s="42" t="str">
        <x:f>IF(OR($E48="",$F48=""),"",IF(AND(AE$5&lt;=$F48,AE$5+6&gt;=$E48),"■",""))</x:f>
      </x:c>
      <x:c r="AF48" s="42" t="str">
        <x:f>IF(OR($E48="",$F48=""),"",IF(AND(AF$5&lt;=$F48,AF$5+6&gt;=$E48),"■",""))</x:f>
      </x:c>
      <x:c r="AG48" s="42" t="str">
        <x:f>IF(OR($E48="",$F48=""),"",IF(AND(AG$5&lt;=$F48,AG$5+6&gt;=$E48),"■",""))</x:f>
      </x:c>
      <x:c r="AH48" s="42" t="str">
        <x:f>IF(OR($E48="",$F48=""),"",IF(AND(AH$5&lt;=$F48,AH$5+6&gt;=$E48),"■",""))</x:f>
      </x:c>
      <x:c r="AI48" s="42" t="str">
        <x:f>IF(OR($E48="",$F48=""),"",IF(AND(AI$5&lt;=$F48,AI$5+6&gt;=$E48),"■",""))</x:f>
      </x:c>
      <x:c r="AJ48" s="42" t="str">
        <x:f>IF(OR($E48="",$F48=""),"",IF(AND(AJ$5&lt;=$F48,AJ$5+6&gt;=$E48),"■",""))</x:f>
      </x:c>
      <x:c r="AK48" s="42" t="str">
        <x:f>IF(OR($E48="",$F48=""),"",IF(AND(AK$5&lt;=$F48,AK$5+6&gt;=$E48),"■",""))</x:f>
      </x:c>
    </x:row>
    <x:row r="49" ht="28" customHeight="1">
      <x:c r="A49" s="26" t="str">
        <x:v>PRD-R7-001</x:v>
      </x:c>
      <x:c r="B49" s="26" t="str">
        <x:v>Artwork PRD</x:v>
      </x:c>
      <x:c r="C49" s="26" t="str">
        <x:v>Done</x:v>
      </x:c>
      <x:c r="D49" s="26" t="str">
        <x:v>R7</x:v>
      </x:c>
      <x:c r="E49" s="31" t="n">
        <x:v>46398</x:v>
      </x:c>
      <x:c r="F49" s="31" t="n">
        <x:v>46400</x:v>
      </x:c>
      <x:c r="G49" s="42" t="str">
        <x:f>IF(OR($E49="",$F49=""),"",IF(AND(G$5&lt;=$F49,G$5+6&gt;=$E49),"■",""))</x:f>
      </x:c>
      <x:c r="H49" s="42" t="str">
        <x:f>IF(OR($E49="",$F49=""),"",IF(AND(H$5&lt;=$F49,H$5+6&gt;=$E49),"■",""))</x:f>
      </x:c>
      <x:c r="I49" s="42" t="str">
        <x:f>IF(OR($E49="",$F49=""),"",IF(AND(I$5&lt;=$F49,I$5+6&gt;=$E49),"■",""))</x:f>
      </x:c>
      <x:c r="J49" s="42" t="str">
        <x:f>IF(OR($E49="",$F49=""),"",IF(AND(J$5&lt;=$F49,J$5+6&gt;=$E49),"■",""))</x:f>
      </x:c>
      <x:c r="K49" s="42" t="str">
        <x:f>IF(OR($E49="",$F49=""),"",IF(AND(K$5&lt;=$F49,K$5+6&gt;=$E49),"■",""))</x:f>
      </x:c>
      <x:c r="L49" s="42" t="str">
        <x:f>IF(OR($E49="",$F49=""),"",IF(AND(L$5&lt;=$F49,L$5+6&gt;=$E49),"■",""))</x:f>
      </x:c>
      <x:c r="M49" s="42" t="str">
        <x:f>IF(OR($E49="",$F49=""),"",IF(AND(M$5&lt;=$F49,M$5+6&gt;=$E49),"■",""))</x:f>
      </x:c>
      <x:c r="N49" s="42" t="str">
        <x:f>IF(OR($E49="",$F49=""),"",IF(AND(N$5&lt;=$F49,N$5+6&gt;=$E49),"■",""))</x:f>
      </x:c>
      <x:c r="O49" s="42" t="str">
        <x:f>IF(OR($E49="",$F49=""),"",IF(AND(O$5&lt;=$F49,O$5+6&gt;=$E49),"■",""))</x:f>
      </x:c>
      <x:c r="P49" s="42" t="str">
        <x:f>IF(OR($E49="",$F49=""),"",IF(AND(P$5&lt;=$F49,P$5+6&gt;=$E49),"■",""))</x:f>
      </x:c>
      <x:c r="Q49" s="42" t="str">
        <x:f>IF(OR($E49="",$F49=""),"",IF(AND(Q$5&lt;=$F49,Q$5+6&gt;=$E49),"■",""))</x:f>
      </x:c>
      <x:c r="R49" s="42" t="str">
        <x:f>IF(OR($E49="",$F49=""),"",IF(AND(R$5&lt;=$F49,R$5+6&gt;=$E49),"■",""))</x:f>
      </x:c>
      <x:c r="S49" s="42" t="str">
        <x:f>IF(OR($E49="",$F49=""),"",IF(AND(S$5&lt;=$F49,S$5+6&gt;=$E49),"■",""))</x:f>
      </x:c>
      <x:c r="T49" s="42" t="str">
        <x:f>IF(OR($E49="",$F49=""),"",IF(AND(T$5&lt;=$F49,T$5+6&gt;=$E49),"■",""))</x:f>
      </x:c>
      <x:c r="U49" s="42" t="str">
        <x:f>IF(OR($E49="",$F49=""),"",IF(AND(U$5&lt;=$F49,U$5+6&gt;=$E49),"■",""))</x:f>
      </x:c>
      <x:c r="V49" s="42" t="str">
        <x:f>IF(OR($E49="",$F49=""),"",IF(AND(V$5&lt;=$F49,V$5+6&gt;=$E49),"■",""))</x:f>
      </x:c>
      <x:c r="W49" s="42" t="str">
        <x:f>IF(OR($E49="",$F49=""),"",IF(AND(W$5&lt;=$F49,W$5+6&gt;=$E49),"■",""))</x:f>
      </x:c>
      <x:c r="X49" s="42" t="str">
        <x:f>IF(OR($E49="",$F49=""),"",IF(AND(X$5&lt;=$F49,X$5+6&gt;=$E49),"■",""))</x:f>
      </x:c>
      <x:c r="Y49" s="42" t="str">
        <x:f>IF(OR($E49="",$F49=""),"",IF(AND(Y$5&lt;=$F49,Y$5+6&gt;=$E49),"■",""))</x:f>
      </x:c>
      <x:c r="Z49" s="42" t="str">
        <x:f>IF(OR($E49="",$F49=""),"",IF(AND(Z$5&lt;=$F49,Z$5+6&gt;=$E49),"■",""))</x:f>
      </x:c>
      <x:c r="AA49" s="42" t="str">
        <x:f>IF(OR($E49="",$F49=""),"",IF(AND(AA$5&lt;=$F49,AA$5+6&gt;=$E49),"■",""))</x:f>
      </x:c>
      <x:c r="AB49" s="42" t="str">
        <x:f>IF(OR($E49="",$F49=""),"",IF(AND(AB$5&lt;=$F49,AB$5+6&gt;=$E49),"■",""))</x:f>
        <x:v>■</x:v>
      </x:c>
      <x:c r="AC49" s="42" t="str">
        <x:f>IF(OR($E49="",$F49=""),"",IF(AND(AC$5&lt;=$F49,AC$5+6&gt;=$E49),"■",""))</x:f>
      </x:c>
      <x:c r="AD49" s="42" t="str">
        <x:f>IF(OR($E49="",$F49=""),"",IF(AND(AD$5&lt;=$F49,AD$5+6&gt;=$E49),"■",""))</x:f>
      </x:c>
      <x:c r="AE49" s="42" t="str">
        <x:f>IF(OR($E49="",$F49=""),"",IF(AND(AE$5&lt;=$F49,AE$5+6&gt;=$E49),"■",""))</x:f>
      </x:c>
      <x:c r="AF49" s="42" t="str">
        <x:f>IF(OR($E49="",$F49=""),"",IF(AND(AF$5&lt;=$F49,AF$5+6&gt;=$E49),"■",""))</x:f>
      </x:c>
      <x:c r="AG49" s="42" t="str">
        <x:f>IF(OR($E49="",$F49=""),"",IF(AND(AG$5&lt;=$F49,AG$5+6&gt;=$E49),"■",""))</x:f>
      </x:c>
      <x:c r="AH49" s="42" t="str">
        <x:f>IF(OR($E49="",$F49=""),"",IF(AND(AH$5&lt;=$F49,AH$5+6&gt;=$E49),"■",""))</x:f>
      </x:c>
      <x:c r="AI49" s="42" t="str">
        <x:f>IF(OR($E49="",$F49=""),"",IF(AND(AI$5&lt;=$F49,AI$5+6&gt;=$E49),"■",""))</x:f>
      </x:c>
      <x:c r="AJ49" s="42" t="str">
        <x:f>IF(OR($E49="",$F49=""),"",IF(AND(AJ$5&lt;=$F49,AJ$5+6&gt;=$E49),"■",""))</x:f>
      </x:c>
      <x:c r="AK49" s="42" t="str">
        <x:f>IF(OR($E49="",$F49=""),"",IF(AND(AK$5&lt;=$F49,AK$5+6&gt;=$E49),"■",""))</x:f>
      </x:c>
    </x:row>
    <x:row r="50" ht="28" customHeight="1">
      <x:c r="A50" s="26" t="str">
        <x:v>UX-R7-001</x:v>
      </x:c>
      <x:c r="B50" s="26" t="str">
        <x:v>Artwork/Version/Suppression Designs</x:v>
      </x:c>
      <x:c r="C50" s="26" t="str">
        <x:v>Backlog</x:v>
      </x:c>
      <x:c r="D50" s="26" t="str">
        <x:v>R7</x:v>
      </x:c>
      <x:c r="E50" s="31" t="n">
        <x:v>46399</x:v>
      </x:c>
      <x:c r="F50" s="31" t="n">
        <x:v>46402</x:v>
      </x:c>
      <x:c r="G50" s="42" t="str">
        <x:f>IF(OR($E50="",$F50=""),"",IF(AND(G$5&lt;=$F50,G$5+6&gt;=$E50),"■",""))</x:f>
      </x:c>
      <x:c r="H50" s="42" t="str">
        <x:f>IF(OR($E50="",$F50=""),"",IF(AND(H$5&lt;=$F50,H$5+6&gt;=$E50),"■",""))</x:f>
      </x:c>
      <x:c r="I50" s="42" t="str">
        <x:f>IF(OR($E50="",$F50=""),"",IF(AND(I$5&lt;=$F50,I$5+6&gt;=$E50),"■",""))</x:f>
      </x:c>
      <x:c r="J50" s="42" t="str">
        <x:f>IF(OR($E50="",$F50=""),"",IF(AND(J$5&lt;=$F50,J$5+6&gt;=$E50),"■",""))</x:f>
      </x:c>
      <x:c r="K50" s="42" t="str">
        <x:f>IF(OR($E50="",$F50=""),"",IF(AND(K$5&lt;=$F50,K$5+6&gt;=$E50),"■",""))</x:f>
      </x:c>
      <x:c r="L50" s="42" t="str">
        <x:f>IF(OR($E50="",$F50=""),"",IF(AND(L$5&lt;=$F50,L$5+6&gt;=$E50),"■",""))</x:f>
      </x:c>
      <x:c r="M50" s="42" t="str">
        <x:f>IF(OR($E50="",$F50=""),"",IF(AND(M$5&lt;=$F50,M$5+6&gt;=$E50),"■",""))</x:f>
      </x:c>
      <x:c r="N50" s="42" t="str">
        <x:f>IF(OR($E50="",$F50=""),"",IF(AND(N$5&lt;=$F50,N$5+6&gt;=$E50),"■",""))</x:f>
      </x:c>
      <x:c r="O50" s="42" t="str">
        <x:f>IF(OR($E50="",$F50=""),"",IF(AND(O$5&lt;=$F50,O$5+6&gt;=$E50),"■",""))</x:f>
      </x:c>
      <x:c r="P50" s="42" t="str">
        <x:f>IF(OR($E50="",$F50=""),"",IF(AND(P$5&lt;=$F50,P$5+6&gt;=$E50),"■",""))</x:f>
      </x:c>
      <x:c r="Q50" s="42" t="str">
        <x:f>IF(OR($E50="",$F50=""),"",IF(AND(Q$5&lt;=$F50,Q$5+6&gt;=$E50),"■",""))</x:f>
      </x:c>
      <x:c r="R50" s="42" t="str">
        <x:f>IF(OR($E50="",$F50=""),"",IF(AND(R$5&lt;=$F50,R$5+6&gt;=$E50),"■",""))</x:f>
      </x:c>
      <x:c r="S50" s="42" t="str">
        <x:f>IF(OR($E50="",$F50=""),"",IF(AND(S$5&lt;=$F50,S$5+6&gt;=$E50),"■",""))</x:f>
      </x:c>
      <x:c r="T50" s="42" t="str">
        <x:f>IF(OR($E50="",$F50=""),"",IF(AND(T$5&lt;=$F50,T$5+6&gt;=$E50),"■",""))</x:f>
      </x:c>
      <x:c r="U50" s="42" t="str">
        <x:f>IF(OR($E50="",$F50=""),"",IF(AND(U$5&lt;=$F50,U$5+6&gt;=$E50),"■",""))</x:f>
      </x:c>
      <x:c r="V50" s="42" t="str">
        <x:f>IF(OR($E50="",$F50=""),"",IF(AND(V$5&lt;=$F50,V$5+6&gt;=$E50),"■",""))</x:f>
      </x:c>
      <x:c r="W50" s="42" t="str">
        <x:f>IF(OR($E50="",$F50=""),"",IF(AND(W$5&lt;=$F50,W$5+6&gt;=$E50),"■",""))</x:f>
      </x:c>
      <x:c r="X50" s="42" t="str">
        <x:f>IF(OR($E50="",$F50=""),"",IF(AND(X$5&lt;=$F50,X$5+6&gt;=$E50),"■",""))</x:f>
      </x:c>
      <x:c r="Y50" s="42" t="str">
        <x:f>IF(OR($E50="",$F50=""),"",IF(AND(Y$5&lt;=$F50,Y$5+6&gt;=$E50),"■",""))</x:f>
      </x:c>
      <x:c r="Z50" s="42" t="str">
        <x:f>IF(OR($E50="",$F50=""),"",IF(AND(Z$5&lt;=$F50,Z$5+6&gt;=$E50),"■",""))</x:f>
      </x:c>
      <x:c r="AA50" s="42" t="str">
        <x:f>IF(OR($E50="",$F50=""),"",IF(AND(AA$5&lt;=$F50,AA$5+6&gt;=$E50),"■",""))</x:f>
      </x:c>
      <x:c r="AB50" s="42" t="str">
        <x:f>IF(OR($E50="",$F50=""),"",IF(AND(AB$5&lt;=$F50,AB$5+6&gt;=$E50),"■",""))</x:f>
        <x:v>■</x:v>
      </x:c>
      <x:c r="AC50" s="42" t="str">
        <x:f>IF(OR($E50="",$F50=""),"",IF(AND(AC$5&lt;=$F50,AC$5+6&gt;=$E50),"■",""))</x:f>
      </x:c>
      <x:c r="AD50" s="42" t="str">
        <x:f>IF(OR($E50="",$F50=""),"",IF(AND(AD$5&lt;=$F50,AD$5+6&gt;=$E50),"■",""))</x:f>
      </x:c>
      <x:c r="AE50" s="42" t="str">
        <x:f>IF(OR($E50="",$F50=""),"",IF(AND(AE$5&lt;=$F50,AE$5+6&gt;=$E50),"■",""))</x:f>
      </x:c>
      <x:c r="AF50" s="42" t="str">
        <x:f>IF(OR($E50="",$F50=""),"",IF(AND(AF$5&lt;=$F50,AF$5+6&gt;=$E50),"■",""))</x:f>
      </x:c>
      <x:c r="AG50" s="42" t="str">
        <x:f>IF(OR($E50="",$F50=""),"",IF(AND(AG$5&lt;=$F50,AG$5+6&gt;=$E50),"■",""))</x:f>
      </x:c>
      <x:c r="AH50" s="42" t="str">
        <x:f>IF(OR($E50="",$F50=""),"",IF(AND(AH$5&lt;=$F50,AH$5+6&gt;=$E50),"■",""))</x:f>
      </x:c>
      <x:c r="AI50" s="42" t="str">
        <x:f>IF(OR($E50="",$F50=""),"",IF(AND(AI$5&lt;=$F50,AI$5+6&gt;=$E50),"■",""))</x:f>
      </x:c>
      <x:c r="AJ50" s="42" t="str">
        <x:f>IF(OR($E50="",$F50=""),"",IF(AND(AJ$5&lt;=$F50,AJ$5+6&gt;=$E50),"■",""))</x:f>
      </x:c>
      <x:c r="AK50" s="42" t="str">
        <x:f>IF(OR($E50="",$F50=""),"",IF(AND(AK$5&lt;=$F50,AK$5+6&gt;=$E50),"■",""))</x:f>
      </x:c>
    </x:row>
    <x:row r="51" ht="28" customHeight="1">
      <x:c r="A51" s="26" t="str">
        <x:v>ARCH-R7-001</x:v>
      </x:c>
      <x:c r="B51" s="26" t="str">
        <x:v>Artwork Adapter/Sweep/Budget/Provenance</x:v>
      </x:c>
      <x:c r="C51" s="26" t="str">
        <x:v>Backlog</x:v>
      </x:c>
      <x:c r="D51" s="26" t="str">
        <x:v>R7</x:v>
      </x:c>
      <x:c r="E51" s="31" t="n">
        <x:v>46399</x:v>
      </x:c>
      <x:c r="F51" s="31" t="n">
        <x:v>46402</x:v>
      </x:c>
      <x:c r="G51" s="42" t="str">
        <x:f>IF(OR($E51="",$F51=""),"",IF(AND(G$5&lt;=$F51,G$5+6&gt;=$E51),"■",""))</x:f>
      </x:c>
      <x:c r="H51" s="42" t="str">
        <x:f>IF(OR($E51="",$F51=""),"",IF(AND(H$5&lt;=$F51,H$5+6&gt;=$E51),"■",""))</x:f>
      </x:c>
      <x:c r="I51" s="42" t="str">
        <x:f>IF(OR($E51="",$F51=""),"",IF(AND(I$5&lt;=$F51,I$5+6&gt;=$E51),"■",""))</x:f>
      </x:c>
      <x:c r="J51" s="42" t="str">
        <x:f>IF(OR($E51="",$F51=""),"",IF(AND(J$5&lt;=$F51,J$5+6&gt;=$E51),"■",""))</x:f>
      </x:c>
      <x:c r="K51" s="42" t="str">
        <x:f>IF(OR($E51="",$F51=""),"",IF(AND(K$5&lt;=$F51,K$5+6&gt;=$E51),"■",""))</x:f>
      </x:c>
      <x:c r="L51" s="42" t="str">
        <x:f>IF(OR($E51="",$F51=""),"",IF(AND(L$5&lt;=$F51,L$5+6&gt;=$E51),"■",""))</x:f>
      </x:c>
      <x:c r="M51" s="42" t="str">
        <x:f>IF(OR($E51="",$F51=""),"",IF(AND(M$5&lt;=$F51,M$5+6&gt;=$E51),"■",""))</x:f>
      </x:c>
      <x:c r="N51" s="42" t="str">
        <x:f>IF(OR($E51="",$F51=""),"",IF(AND(N$5&lt;=$F51,N$5+6&gt;=$E51),"■",""))</x:f>
      </x:c>
      <x:c r="O51" s="42" t="str">
        <x:f>IF(OR($E51="",$F51=""),"",IF(AND(O$5&lt;=$F51,O$5+6&gt;=$E51),"■",""))</x:f>
      </x:c>
      <x:c r="P51" s="42" t="str">
        <x:f>IF(OR($E51="",$F51=""),"",IF(AND(P$5&lt;=$F51,P$5+6&gt;=$E51),"■",""))</x:f>
      </x:c>
      <x:c r="Q51" s="42" t="str">
        <x:f>IF(OR($E51="",$F51=""),"",IF(AND(Q$5&lt;=$F51,Q$5+6&gt;=$E51),"■",""))</x:f>
      </x:c>
      <x:c r="R51" s="42" t="str">
        <x:f>IF(OR($E51="",$F51=""),"",IF(AND(R$5&lt;=$F51,R$5+6&gt;=$E51),"■",""))</x:f>
      </x:c>
      <x:c r="S51" s="42" t="str">
        <x:f>IF(OR($E51="",$F51=""),"",IF(AND(S$5&lt;=$F51,S$5+6&gt;=$E51),"■",""))</x:f>
      </x:c>
      <x:c r="T51" s="42" t="str">
        <x:f>IF(OR($E51="",$F51=""),"",IF(AND(T$5&lt;=$F51,T$5+6&gt;=$E51),"■",""))</x:f>
      </x:c>
      <x:c r="U51" s="42" t="str">
        <x:f>IF(OR($E51="",$F51=""),"",IF(AND(U$5&lt;=$F51,U$5+6&gt;=$E51),"■",""))</x:f>
      </x:c>
      <x:c r="V51" s="42" t="str">
        <x:f>IF(OR($E51="",$F51=""),"",IF(AND(V$5&lt;=$F51,V$5+6&gt;=$E51),"■",""))</x:f>
      </x:c>
      <x:c r="W51" s="42" t="str">
        <x:f>IF(OR($E51="",$F51=""),"",IF(AND(W$5&lt;=$F51,W$5+6&gt;=$E51),"■",""))</x:f>
      </x:c>
      <x:c r="X51" s="42" t="str">
        <x:f>IF(OR($E51="",$F51=""),"",IF(AND(X$5&lt;=$F51,X$5+6&gt;=$E51),"■",""))</x:f>
      </x:c>
      <x:c r="Y51" s="42" t="str">
        <x:f>IF(OR($E51="",$F51=""),"",IF(AND(Y$5&lt;=$F51,Y$5+6&gt;=$E51),"■",""))</x:f>
      </x:c>
      <x:c r="Z51" s="42" t="str">
        <x:f>IF(OR($E51="",$F51=""),"",IF(AND(Z$5&lt;=$F51,Z$5+6&gt;=$E51),"■",""))</x:f>
      </x:c>
      <x:c r="AA51" s="42" t="str">
        <x:f>IF(OR($E51="",$F51=""),"",IF(AND(AA$5&lt;=$F51,AA$5+6&gt;=$E51),"■",""))</x:f>
      </x:c>
      <x:c r="AB51" s="42" t="str">
        <x:f>IF(OR($E51="",$F51=""),"",IF(AND(AB$5&lt;=$F51,AB$5+6&gt;=$E51),"■",""))</x:f>
        <x:v>■</x:v>
      </x:c>
      <x:c r="AC51" s="42" t="str">
        <x:f>IF(OR($E51="",$F51=""),"",IF(AND(AC$5&lt;=$F51,AC$5+6&gt;=$E51),"■",""))</x:f>
      </x:c>
      <x:c r="AD51" s="42" t="str">
        <x:f>IF(OR($E51="",$F51=""),"",IF(AND(AD$5&lt;=$F51,AD$5+6&gt;=$E51),"■",""))</x:f>
      </x:c>
      <x:c r="AE51" s="42" t="str">
        <x:f>IF(OR($E51="",$F51=""),"",IF(AND(AE$5&lt;=$F51,AE$5+6&gt;=$E51),"■",""))</x:f>
      </x:c>
      <x:c r="AF51" s="42" t="str">
        <x:f>IF(OR($E51="",$F51=""),"",IF(AND(AF$5&lt;=$F51,AF$5+6&gt;=$E51),"■",""))</x:f>
      </x:c>
      <x:c r="AG51" s="42" t="str">
        <x:f>IF(OR($E51="",$F51=""),"",IF(AND(AG$5&lt;=$F51,AG$5+6&gt;=$E51),"■",""))</x:f>
      </x:c>
      <x:c r="AH51" s="42" t="str">
        <x:f>IF(OR($E51="",$F51=""),"",IF(AND(AH$5&lt;=$F51,AH$5+6&gt;=$E51),"■",""))</x:f>
      </x:c>
      <x:c r="AI51" s="42" t="str">
        <x:f>IF(OR($E51="",$F51=""),"",IF(AND(AI$5&lt;=$F51,AI$5+6&gt;=$E51),"■",""))</x:f>
      </x:c>
      <x:c r="AJ51" s="42" t="str">
        <x:f>IF(OR($E51="",$F51=""),"",IF(AND(AJ$5&lt;=$F51,AJ$5+6&gt;=$E51),"■",""))</x:f>
      </x:c>
      <x:c r="AK51" s="42" t="str">
        <x:f>IF(OR($E51="",$F51=""),"",IF(AND(AK$5&lt;=$F51,AK$5+6&gt;=$E51),"■",""))</x:f>
      </x:c>
    </x:row>
    <x:row r="52" ht="28" customHeight="1">
      <x:c r="A52" s="26" t="str">
        <x:v>ENG-R7-001</x:v>
      </x:c>
      <x:c r="B52" s="26" t="str">
        <x:v>Manual &amp; Sweep Artwork Lifecycle</x:v>
      </x:c>
      <x:c r="C52" s="26" t="str">
        <x:v>Backlog</x:v>
      </x:c>
      <x:c r="D52" s="26" t="str">
        <x:v>R7</x:v>
      </x:c>
      <x:c r="E52" s="31" t="n">
        <x:v>46401</x:v>
      </x:c>
      <x:c r="F52" s="31" t="n">
        <x:v>46414</x:v>
      </x:c>
      <x:c r="G52" s="42" t="str">
        <x:f>IF(OR($E52="",$F52=""),"",IF(AND(G$5&lt;=$F52,G$5+6&gt;=$E52),"■",""))</x:f>
      </x:c>
      <x:c r="H52" s="42" t="str">
        <x:f>IF(OR($E52="",$F52=""),"",IF(AND(H$5&lt;=$F52,H$5+6&gt;=$E52),"■",""))</x:f>
      </x:c>
      <x:c r="I52" s="42" t="str">
        <x:f>IF(OR($E52="",$F52=""),"",IF(AND(I$5&lt;=$F52,I$5+6&gt;=$E52),"■",""))</x:f>
      </x:c>
      <x:c r="J52" s="42" t="str">
        <x:f>IF(OR($E52="",$F52=""),"",IF(AND(J$5&lt;=$F52,J$5+6&gt;=$E52),"■",""))</x:f>
      </x:c>
      <x:c r="K52" s="42" t="str">
        <x:f>IF(OR($E52="",$F52=""),"",IF(AND(K$5&lt;=$F52,K$5+6&gt;=$E52),"■",""))</x:f>
      </x:c>
      <x:c r="L52" s="42" t="str">
        <x:f>IF(OR($E52="",$F52=""),"",IF(AND(L$5&lt;=$F52,L$5+6&gt;=$E52),"■",""))</x:f>
      </x:c>
      <x:c r="M52" s="42" t="str">
        <x:f>IF(OR($E52="",$F52=""),"",IF(AND(M$5&lt;=$F52,M$5+6&gt;=$E52),"■",""))</x:f>
      </x:c>
      <x:c r="N52" s="42" t="str">
        <x:f>IF(OR($E52="",$F52=""),"",IF(AND(N$5&lt;=$F52,N$5+6&gt;=$E52),"■",""))</x:f>
      </x:c>
      <x:c r="O52" s="42" t="str">
        <x:f>IF(OR($E52="",$F52=""),"",IF(AND(O$5&lt;=$F52,O$5+6&gt;=$E52),"■",""))</x:f>
      </x:c>
      <x:c r="P52" s="42" t="str">
        <x:f>IF(OR($E52="",$F52=""),"",IF(AND(P$5&lt;=$F52,P$5+6&gt;=$E52),"■",""))</x:f>
      </x:c>
      <x:c r="Q52" s="42" t="str">
        <x:f>IF(OR($E52="",$F52=""),"",IF(AND(Q$5&lt;=$F52,Q$5+6&gt;=$E52),"■",""))</x:f>
      </x:c>
      <x:c r="R52" s="42" t="str">
        <x:f>IF(OR($E52="",$F52=""),"",IF(AND(R$5&lt;=$F52,R$5+6&gt;=$E52),"■",""))</x:f>
      </x:c>
      <x:c r="S52" s="42" t="str">
        <x:f>IF(OR($E52="",$F52=""),"",IF(AND(S$5&lt;=$F52,S$5+6&gt;=$E52),"■",""))</x:f>
      </x:c>
      <x:c r="T52" s="42" t="str">
        <x:f>IF(OR($E52="",$F52=""),"",IF(AND(T$5&lt;=$F52,T$5+6&gt;=$E52),"■",""))</x:f>
      </x:c>
      <x:c r="U52" s="42" t="str">
        <x:f>IF(OR($E52="",$F52=""),"",IF(AND(U$5&lt;=$F52,U$5+6&gt;=$E52),"■",""))</x:f>
      </x:c>
      <x:c r="V52" s="42" t="str">
        <x:f>IF(OR($E52="",$F52=""),"",IF(AND(V$5&lt;=$F52,V$5+6&gt;=$E52),"■",""))</x:f>
      </x:c>
      <x:c r="W52" s="42" t="str">
        <x:f>IF(OR($E52="",$F52=""),"",IF(AND(W$5&lt;=$F52,W$5+6&gt;=$E52),"■",""))</x:f>
      </x:c>
      <x:c r="X52" s="42" t="str">
        <x:f>IF(OR($E52="",$F52=""),"",IF(AND(X$5&lt;=$F52,X$5+6&gt;=$E52),"■",""))</x:f>
      </x:c>
      <x:c r="Y52" s="42" t="str">
        <x:f>IF(OR($E52="",$F52=""),"",IF(AND(Y$5&lt;=$F52,Y$5+6&gt;=$E52),"■",""))</x:f>
      </x:c>
      <x:c r="Z52" s="42" t="str">
        <x:f>IF(OR($E52="",$F52=""),"",IF(AND(Z$5&lt;=$F52,Z$5+6&gt;=$E52),"■",""))</x:f>
      </x:c>
      <x:c r="AA52" s="42" t="str">
        <x:f>IF(OR($E52="",$F52=""),"",IF(AND(AA$5&lt;=$F52,AA$5+6&gt;=$E52),"■",""))</x:f>
      </x:c>
      <x:c r="AB52" s="42" t="str">
        <x:f>IF(OR($E52="",$F52=""),"",IF(AND(AB$5&lt;=$F52,AB$5+6&gt;=$E52),"■",""))</x:f>
        <x:v>■</x:v>
      </x:c>
      <x:c r="AC52" s="42" t="str">
        <x:f>IF(OR($E52="",$F52=""),"",IF(AND(AC$5&lt;=$F52,AC$5+6&gt;=$E52),"■",""))</x:f>
        <x:v>■</x:v>
      </x:c>
      <x:c r="AD52" s="42" t="str">
        <x:f>IF(OR($E52="",$F52=""),"",IF(AND(AD$5&lt;=$F52,AD$5+6&gt;=$E52),"■",""))</x:f>
        <x:v>■</x:v>
      </x:c>
      <x:c r="AE52" s="42" t="str">
        <x:f>IF(OR($E52="",$F52=""),"",IF(AND(AE$5&lt;=$F52,AE$5+6&gt;=$E52),"■",""))</x:f>
      </x:c>
      <x:c r="AF52" s="42" t="str">
        <x:f>IF(OR($E52="",$F52=""),"",IF(AND(AF$5&lt;=$F52,AF$5+6&gt;=$E52),"■",""))</x:f>
      </x:c>
      <x:c r="AG52" s="42" t="str">
        <x:f>IF(OR($E52="",$F52=""),"",IF(AND(AG$5&lt;=$F52,AG$5+6&gt;=$E52),"■",""))</x:f>
      </x:c>
      <x:c r="AH52" s="42" t="str">
        <x:f>IF(OR($E52="",$F52=""),"",IF(AND(AH$5&lt;=$F52,AH$5+6&gt;=$E52),"■",""))</x:f>
      </x:c>
      <x:c r="AI52" s="42" t="str">
        <x:f>IF(OR($E52="",$F52=""),"",IF(AND(AI$5&lt;=$F52,AI$5+6&gt;=$E52),"■",""))</x:f>
      </x:c>
      <x:c r="AJ52" s="42" t="str">
        <x:f>IF(OR($E52="",$F52=""),"",IF(AND(AJ$5&lt;=$F52,AJ$5+6&gt;=$E52),"■",""))</x:f>
      </x:c>
      <x:c r="AK52" s="42" t="str">
        <x:f>IF(OR($E52="",$F52=""),"",IF(AND(AK$5&lt;=$F52,AK$5+6&gt;=$E52),"■",""))</x:f>
      </x:c>
    </x:row>
    <x:row r="53" ht="28" customHeight="1">
      <x:c r="A53" s="26" t="str">
        <x:v>REL-R7-001</x:v>
      </x:c>
      <x:c r="B53" s="26" t="str">
        <x:v>Artwork Privacy/Cover/Restore Acceptance</x:v>
      </x:c>
      <x:c r="C53" s="26" t="str">
        <x:v>Backlog</x:v>
      </x:c>
      <x:c r="D53" s="26" t="str">
        <x:v>R7</x:v>
      </x:c>
      <x:c r="E53" s="31" t="n">
        <x:v>46415</x:v>
      </x:c>
      <x:c r="F53" s="31" t="n">
        <x:v>46416</x:v>
      </x:c>
      <x:c r="G53" s="42" t="str">
        <x:f>IF(OR($E53="",$F53=""),"",IF(AND(G$5&lt;=$F53,G$5+6&gt;=$E53),"■",""))</x:f>
      </x:c>
      <x:c r="H53" s="42" t="str">
        <x:f>IF(OR($E53="",$F53=""),"",IF(AND(H$5&lt;=$F53,H$5+6&gt;=$E53),"■",""))</x:f>
      </x:c>
      <x:c r="I53" s="42" t="str">
        <x:f>IF(OR($E53="",$F53=""),"",IF(AND(I$5&lt;=$F53,I$5+6&gt;=$E53),"■",""))</x:f>
      </x:c>
      <x:c r="J53" s="42" t="str">
        <x:f>IF(OR($E53="",$F53=""),"",IF(AND(J$5&lt;=$F53,J$5+6&gt;=$E53),"■",""))</x:f>
      </x:c>
      <x:c r="K53" s="42" t="str">
        <x:f>IF(OR($E53="",$F53=""),"",IF(AND(K$5&lt;=$F53,K$5+6&gt;=$E53),"■",""))</x:f>
      </x:c>
      <x:c r="L53" s="42" t="str">
        <x:f>IF(OR($E53="",$F53=""),"",IF(AND(L$5&lt;=$F53,L$5+6&gt;=$E53),"■",""))</x:f>
      </x:c>
      <x:c r="M53" s="42" t="str">
        <x:f>IF(OR($E53="",$F53=""),"",IF(AND(M$5&lt;=$F53,M$5+6&gt;=$E53),"■",""))</x:f>
      </x:c>
      <x:c r="N53" s="42" t="str">
        <x:f>IF(OR($E53="",$F53=""),"",IF(AND(N$5&lt;=$F53,N$5+6&gt;=$E53),"■",""))</x:f>
      </x:c>
      <x:c r="O53" s="42" t="str">
        <x:f>IF(OR($E53="",$F53=""),"",IF(AND(O$5&lt;=$F53,O$5+6&gt;=$E53),"■",""))</x:f>
      </x:c>
      <x:c r="P53" s="42" t="str">
        <x:f>IF(OR($E53="",$F53=""),"",IF(AND(P$5&lt;=$F53,P$5+6&gt;=$E53),"■",""))</x:f>
      </x:c>
      <x:c r="Q53" s="42" t="str">
        <x:f>IF(OR($E53="",$F53=""),"",IF(AND(Q$5&lt;=$F53,Q$5+6&gt;=$E53),"■",""))</x:f>
      </x:c>
      <x:c r="R53" s="42" t="str">
        <x:f>IF(OR($E53="",$F53=""),"",IF(AND(R$5&lt;=$F53,R$5+6&gt;=$E53),"■",""))</x:f>
      </x:c>
      <x:c r="S53" s="42" t="str">
        <x:f>IF(OR($E53="",$F53=""),"",IF(AND(S$5&lt;=$F53,S$5+6&gt;=$E53),"■",""))</x:f>
      </x:c>
      <x:c r="T53" s="42" t="str">
        <x:f>IF(OR($E53="",$F53=""),"",IF(AND(T$5&lt;=$F53,T$5+6&gt;=$E53),"■",""))</x:f>
      </x:c>
      <x:c r="U53" s="42" t="str">
        <x:f>IF(OR($E53="",$F53=""),"",IF(AND(U$5&lt;=$F53,U$5+6&gt;=$E53),"■",""))</x:f>
      </x:c>
      <x:c r="V53" s="42" t="str">
        <x:f>IF(OR($E53="",$F53=""),"",IF(AND(V$5&lt;=$F53,V$5+6&gt;=$E53),"■",""))</x:f>
      </x:c>
      <x:c r="W53" s="42" t="str">
        <x:f>IF(OR($E53="",$F53=""),"",IF(AND(W$5&lt;=$F53,W$5+6&gt;=$E53),"■",""))</x:f>
      </x:c>
      <x:c r="X53" s="42" t="str">
        <x:f>IF(OR($E53="",$F53=""),"",IF(AND(X$5&lt;=$F53,X$5+6&gt;=$E53),"■",""))</x:f>
      </x:c>
      <x:c r="Y53" s="42" t="str">
        <x:f>IF(OR($E53="",$F53=""),"",IF(AND(Y$5&lt;=$F53,Y$5+6&gt;=$E53),"■",""))</x:f>
      </x:c>
      <x:c r="Z53" s="42" t="str">
        <x:f>IF(OR($E53="",$F53=""),"",IF(AND(Z$5&lt;=$F53,Z$5+6&gt;=$E53),"■",""))</x:f>
      </x:c>
      <x:c r="AA53" s="42" t="str">
        <x:f>IF(OR($E53="",$F53=""),"",IF(AND(AA$5&lt;=$F53,AA$5+6&gt;=$E53),"■",""))</x:f>
      </x:c>
      <x:c r="AB53" s="42" t="str">
        <x:f>IF(OR($E53="",$F53=""),"",IF(AND(AB$5&lt;=$F53,AB$5+6&gt;=$E53),"■",""))</x:f>
      </x:c>
      <x:c r="AC53" s="42" t="str">
        <x:f>IF(OR($E53="",$F53=""),"",IF(AND(AC$5&lt;=$F53,AC$5+6&gt;=$E53),"■",""))</x:f>
      </x:c>
      <x:c r="AD53" s="42" t="str">
        <x:f>IF(OR($E53="",$F53=""),"",IF(AND(AD$5&lt;=$F53,AD$5+6&gt;=$E53),"■",""))</x:f>
        <x:v>■</x:v>
      </x:c>
      <x:c r="AE53" s="42" t="str">
        <x:f>IF(OR($E53="",$F53=""),"",IF(AND(AE$5&lt;=$F53,AE$5+6&gt;=$E53),"■",""))</x:f>
      </x:c>
      <x:c r="AF53" s="42" t="str">
        <x:f>IF(OR($E53="",$F53=""),"",IF(AND(AF$5&lt;=$F53,AF$5+6&gt;=$E53),"■",""))</x:f>
      </x:c>
      <x:c r="AG53" s="42" t="str">
        <x:f>IF(OR($E53="",$F53=""),"",IF(AND(AG$5&lt;=$F53,AG$5+6&gt;=$E53),"■",""))</x:f>
      </x:c>
      <x:c r="AH53" s="42" t="str">
        <x:f>IF(OR($E53="",$F53=""),"",IF(AND(AH$5&lt;=$F53,AH$5+6&gt;=$E53),"■",""))</x:f>
      </x:c>
      <x:c r="AI53" s="42" t="str">
        <x:f>IF(OR($E53="",$F53=""),"",IF(AND(AI$5&lt;=$F53,AI$5+6&gt;=$E53),"■",""))</x:f>
      </x:c>
      <x:c r="AJ53" s="42" t="str">
        <x:f>IF(OR($E53="",$F53=""),"",IF(AND(AJ$5&lt;=$F53,AJ$5+6&gt;=$E53),"■",""))</x:f>
      </x:c>
      <x:c r="AK53" s="42" t="str">
        <x:f>IF(OR($E53="",$F53=""),"",IF(AND(AK$5&lt;=$F53,AK$5+6&gt;=$E53),"■",""))</x:f>
      </x:c>
    </x:row>
    <x:row r="54" ht="28" customHeight="1">
      <x:c r="A54" s="26" t="str">
        <x:v>PRD-R8-001</x:v>
      </x:c>
      <x:c r="B54" s="26" t="str">
        <x:v>Resilience PRD</x:v>
      </x:c>
      <x:c r="C54" s="26" t="str">
        <x:v>Done</x:v>
      </x:c>
      <x:c r="D54" s="26" t="str">
        <x:v>R8</x:v>
      </x:c>
      <x:c r="E54" s="31" t="n">
        <x:v>46419</x:v>
      </x:c>
      <x:c r="F54" s="31" t="n">
        <x:v>46421</x:v>
      </x:c>
      <x:c r="G54" s="42" t="str">
        <x:f>IF(OR($E54="",$F54=""),"",IF(AND(G$5&lt;=$F54,G$5+6&gt;=$E54),"■",""))</x:f>
      </x:c>
      <x:c r="H54" s="42" t="str">
        <x:f>IF(OR($E54="",$F54=""),"",IF(AND(H$5&lt;=$F54,H$5+6&gt;=$E54),"■",""))</x:f>
      </x:c>
      <x:c r="I54" s="42" t="str">
        <x:f>IF(OR($E54="",$F54=""),"",IF(AND(I$5&lt;=$F54,I$5+6&gt;=$E54),"■",""))</x:f>
      </x:c>
      <x:c r="J54" s="42" t="str">
        <x:f>IF(OR($E54="",$F54=""),"",IF(AND(J$5&lt;=$F54,J$5+6&gt;=$E54),"■",""))</x:f>
      </x:c>
      <x:c r="K54" s="42" t="str">
        <x:f>IF(OR($E54="",$F54=""),"",IF(AND(K$5&lt;=$F54,K$5+6&gt;=$E54),"■",""))</x:f>
      </x:c>
      <x:c r="L54" s="42" t="str">
        <x:f>IF(OR($E54="",$F54=""),"",IF(AND(L$5&lt;=$F54,L$5+6&gt;=$E54),"■",""))</x:f>
      </x:c>
      <x:c r="M54" s="42" t="str">
        <x:f>IF(OR($E54="",$F54=""),"",IF(AND(M$5&lt;=$F54,M$5+6&gt;=$E54),"■",""))</x:f>
      </x:c>
      <x:c r="N54" s="42" t="str">
        <x:f>IF(OR($E54="",$F54=""),"",IF(AND(N$5&lt;=$F54,N$5+6&gt;=$E54),"■",""))</x:f>
      </x:c>
      <x:c r="O54" s="42" t="str">
        <x:f>IF(OR($E54="",$F54=""),"",IF(AND(O$5&lt;=$F54,O$5+6&gt;=$E54),"■",""))</x:f>
      </x:c>
      <x:c r="P54" s="42" t="str">
        <x:f>IF(OR($E54="",$F54=""),"",IF(AND(P$5&lt;=$F54,P$5+6&gt;=$E54),"■",""))</x:f>
      </x:c>
      <x:c r="Q54" s="42" t="str">
        <x:f>IF(OR($E54="",$F54=""),"",IF(AND(Q$5&lt;=$F54,Q$5+6&gt;=$E54),"■",""))</x:f>
      </x:c>
      <x:c r="R54" s="42" t="str">
        <x:f>IF(OR($E54="",$F54=""),"",IF(AND(R$5&lt;=$F54,R$5+6&gt;=$E54),"■",""))</x:f>
      </x:c>
      <x:c r="S54" s="42" t="str">
        <x:f>IF(OR($E54="",$F54=""),"",IF(AND(S$5&lt;=$F54,S$5+6&gt;=$E54),"■",""))</x:f>
      </x:c>
      <x:c r="T54" s="42" t="str">
        <x:f>IF(OR($E54="",$F54=""),"",IF(AND(T$5&lt;=$F54,T$5+6&gt;=$E54),"■",""))</x:f>
      </x:c>
      <x:c r="U54" s="42" t="str">
        <x:f>IF(OR($E54="",$F54=""),"",IF(AND(U$5&lt;=$F54,U$5+6&gt;=$E54),"■",""))</x:f>
      </x:c>
      <x:c r="V54" s="42" t="str">
        <x:f>IF(OR($E54="",$F54=""),"",IF(AND(V$5&lt;=$F54,V$5+6&gt;=$E54),"■",""))</x:f>
      </x:c>
      <x:c r="W54" s="42" t="str">
        <x:f>IF(OR($E54="",$F54=""),"",IF(AND(W$5&lt;=$F54,W$5+6&gt;=$E54),"■",""))</x:f>
      </x:c>
      <x:c r="X54" s="42" t="str">
        <x:f>IF(OR($E54="",$F54=""),"",IF(AND(X$5&lt;=$F54,X$5+6&gt;=$E54),"■",""))</x:f>
      </x:c>
      <x:c r="Y54" s="42" t="str">
        <x:f>IF(OR($E54="",$F54=""),"",IF(AND(Y$5&lt;=$F54,Y$5+6&gt;=$E54),"■",""))</x:f>
      </x:c>
      <x:c r="Z54" s="42" t="str">
        <x:f>IF(OR($E54="",$F54=""),"",IF(AND(Z$5&lt;=$F54,Z$5+6&gt;=$E54),"■",""))</x:f>
      </x:c>
      <x:c r="AA54" s="42" t="str">
        <x:f>IF(OR($E54="",$F54=""),"",IF(AND(AA$5&lt;=$F54,AA$5+6&gt;=$E54),"■",""))</x:f>
      </x:c>
      <x:c r="AB54" s="42" t="str">
        <x:f>IF(OR($E54="",$F54=""),"",IF(AND(AB$5&lt;=$F54,AB$5+6&gt;=$E54),"■",""))</x:f>
      </x:c>
      <x:c r="AC54" s="42" t="str">
        <x:f>IF(OR($E54="",$F54=""),"",IF(AND(AC$5&lt;=$F54,AC$5+6&gt;=$E54),"■",""))</x:f>
      </x:c>
      <x:c r="AD54" s="42" t="str">
        <x:f>IF(OR($E54="",$F54=""),"",IF(AND(AD$5&lt;=$F54,AD$5+6&gt;=$E54),"■",""))</x:f>
      </x:c>
      <x:c r="AE54" s="42" t="str">
        <x:f>IF(OR($E54="",$F54=""),"",IF(AND(AE$5&lt;=$F54,AE$5+6&gt;=$E54),"■",""))</x:f>
        <x:v>■</x:v>
      </x:c>
      <x:c r="AF54" s="42" t="str">
        <x:f>IF(OR($E54="",$F54=""),"",IF(AND(AF$5&lt;=$F54,AF$5+6&gt;=$E54),"■",""))</x:f>
      </x:c>
      <x:c r="AG54" s="42" t="str">
        <x:f>IF(OR($E54="",$F54=""),"",IF(AND(AG$5&lt;=$F54,AG$5+6&gt;=$E54),"■",""))</x:f>
      </x:c>
      <x:c r="AH54" s="42" t="str">
        <x:f>IF(OR($E54="",$F54=""),"",IF(AND(AH$5&lt;=$F54,AH$5+6&gt;=$E54),"■",""))</x:f>
      </x:c>
      <x:c r="AI54" s="42" t="str">
        <x:f>IF(OR($E54="",$F54=""),"",IF(AND(AI$5&lt;=$F54,AI$5+6&gt;=$E54),"■",""))</x:f>
      </x:c>
      <x:c r="AJ54" s="42" t="str">
        <x:f>IF(OR($E54="",$F54=""),"",IF(AND(AJ$5&lt;=$F54,AJ$5+6&gt;=$E54),"■",""))</x:f>
      </x:c>
      <x:c r="AK54" s="42" t="str">
        <x:f>IF(OR($E54="",$F54=""),"",IF(AND(AK$5&lt;=$F54,AK$5+6&gt;=$E54),"■",""))</x:f>
      </x:c>
    </x:row>
    <x:row r="55" ht="28" customHeight="1">
      <x:c r="A55" s="26" t="str">
        <x:v>ARCH-R8-001</x:v>
      </x:c>
      <x:c r="B55" s="26" t="str">
        <x:v>Capacity/Health/Alert/Fault Hardening</x:v>
      </x:c>
      <x:c r="C55" s="26" t="str">
        <x:v>Backlog</x:v>
      </x:c>
      <x:c r="D55" s="26" t="str">
        <x:v>R8</x:v>
      </x:c>
      <x:c r="E55" s="31" t="n">
        <x:v>46419</x:v>
      </x:c>
      <x:c r="F55" s="31" t="n">
        <x:v>46423</x:v>
      </x:c>
      <x:c r="G55" s="42" t="str">
        <x:f>IF(OR($E55="",$F55=""),"",IF(AND(G$5&lt;=$F55,G$5+6&gt;=$E55),"■",""))</x:f>
      </x:c>
      <x:c r="H55" s="42" t="str">
        <x:f>IF(OR($E55="",$F55=""),"",IF(AND(H$5&lt;=$F55,H$5+6&gt;=$E55),"■",""))</x:f>
      </x:c>
      <x:c r="I55" s="42" t="str">
        <x:f>IF(OR($E55="",$F55=""),"",IF(AND(I$5&lt;=$F55,I$5+6&gt;=$E55),"■",""))</x:f>
      </x:c>
      <x:c r="J55" s="42" t="str">
        <x:f>IF(OR($E55="",$F55=""),"",IF(AND(J$5&lt;=$F55,J$5+6&gt;=$E55),"■",""))</x:f>
      </x:c>
      <x:c r="K55" s="42" t="str">
        <x:f>IF(OR($E55="",$F55=""),"",IF(AND(K$5&lt;=$F55,K$5+6&gt;=$E55),"■",""))</x:f>
      </x:c>
      <x:c r="L55" s="42" t="str">
        <x:f>IF(OR($E55="",$F55=""),"",IF(AND(L$5&lt;=$F55,L$5+6&gt;=$E55),"■",""))</x:f>
      </x:c>
      <x:c r="M55" s="42" t="str">
        <x:f>IF(OR($E55="",$F55=""),"",IF(AND(M$5&lt;=$F55,M$5+6&gt;=$E55),"■",""))</x:f>
      </x:c>
      <x:c r="N55" s="42" t="str">
        <x:f>IF(OR($E55="",$F55=""),"",IF(AND(N$5&lt;=$F55,N$5+6&gt;=$E55),"■",""))</x:f>
      </x:c>
      <x:c r="O55" s="42" t="str">
        <x:f>IF(OR($E55="",$F55=""),"",IF(AND(O$5&lt;=$F55,O$5+6&gt;=$E55),"■",""))</x:f>
      </x:c>
      <x:c r="P55" s="42" t="str">
        <x:f>IF(OR($E55="",$F55=""),"",IF(AND(P$5&lt;=$F55,P$5+6&gt;=$E55),"■",""))</x:f>
      </x:c>
      <x:c r="Q55" s="42" t="str">
        <x:f>IF(OR($E55="",$F55=""),"",IF(AND(Q$5&lt;=$F55,Q$5+6&gt;=$E55),"■",""))</x:f>
      </x:c>
      <x:c r="R55" s="42" t="str">
        <x:f>IF(OR($E55="",$F55=""),"",IF(AND(R$5&lt;=$F55,R$5+6&gt;=$E55),"■",""))</x:f>
      </x:c>
      <x:c r="S55" s="42" t="str">
        <x:f>IF(OR($E55="",$F55=""),"",IF(AND(S$5&lt;=$F55,S$5+6&gt;=$E55),"■",""))</x:f>
      </x:c>
      <x:c r="T55" s="42" t="str">
        <x:f>IF(OR($E55="",$F55=""),"",IF(AND(T$5&lt;=$F55,T$5+6&gt;=$E55),"■",""))</x:f>
      </x:c>
      <x:c r="U55" s="42" t="str">
        <x:f>IF(OR($E55="",$F55=""),"",IF(AND(U$5&lt;=$F55,U$5+6&gt;=$E55),"■",""))</x:f>
      </x:c>
      <x:c r="V55" s="42" t="str">
        <x:f>IF(OR($E55="",$F55=""),"",IF(AND(V$5&lt;=$F55,V$5+6&gt;=$E55),"■",""))</x:f>
      </x:c>
      <x:c r="W55" s="42" t="str">
        <x:f>IF(OR($E55="",$F55=""),"",IF(AND(W$5&lt;=$F55,W$5+6&gt;=$E55),"■",""))</x:f>
      </x:c>
      <x:c r="X55" s="42" t="str">
        <x:f>IF(OR($E55="",$F55=""),"",IF(AND(X$5&lt;=$F55,X$5+6&gt;=$E55),"■",""))</x:f>
      </x:c>
      <x:c r="Y55" s="42" t="str">
        <x:f>IF(OR($E55="",$F55=""),"",IF(AND(Y$5&lt;=$F55,Y$5+6&gt;=$E55),"■",""))</x:f>
      </x:c>
      <x:c r="Z55" s="42" t="str">
        <x:f>IF(OR($E55="",$F55=""),"",IF(AND(Z$5&lt;=$F55,Z$5+6&gt;=$E55),"■",""))</x:f>
      </x:c>
      <x:c r="AA55" s="42" t="str">
        <x:f>IF(OR($E55="",$F55=""),"",IF(AND(AA$5&lt;=$F55,AA$5+6&gt;=$E55),"■",""))</x:f>
      </x:c>
      <x:c r="AB55" s="42" t="str">
        <x:f>IF(OR($E55="",$F55=""),"",IF(AND(AB$5&lt;=$F55,AB$5+6&gt;=$E55),"■",""))</x:f>
      </x:c>
      <x:c r="AC55" s="42" t="str">
        <x:f>IF(OR($E55="",$F55=""),"",IF(AND(AC$5&lt;=$F55,AC$5+6&gt;=$E55),"■",""))</x:f>
      </x:c>
      <x:c r="AD55" s="42" t="str">
        <x:f>IF(OR($E55="",$F55=""),"",IF(AND(AD$5&lt;=$F55,AD$5+6&gt;=$E55),"■",""))</x:f>
      </x:c>
      <x:c r="AE55" s="42" t="str">
        <x:f>IF(OR($E55="",$F55=""),"",IF(AND(AE$5&lt;=$F55,AE$5+6&gt;=$E55),"■",""))</x:f>
        <x:v>■</x:v>
      </x:c>
      <x:c r="AF55" s="42" t="str">
        <x:f>IF(OR($E55="",$F55=""),"",IF(AND(AF$5&lt;=$F55,AF$5+6&gt;=$E55),"■",""))</x:f>
      </x:c>
      <x:c r="AG55" s="42" t="str">
        <x:f>IF(OR($E55="",$F55=""),"",IF(AND(AG$5&lt;=$F55,AG$5+6&gt;=$E55),"■",""))</x:f>
      </x:c>
      <x:c r="AH55" s="42" t="str">
        <x:f>IF(OR($E55="",$F55=""),"",IF(AND(AH$5&lt;=$F55,AH$5+6&gt;=$E55),"■",""))</x:f>
      </x:c>
      <x:c r="AI55" s="42" t="str">
        <x:f>IF(OR($E55="",$F55=""),"",IF(AND(AI$5&lt;=$F55,AI$5+6&gt;=$E55),"■",""))</x:f>
      </x:c>
      <x:c r="AJ55" s="42" t="str">
        <x:f>IF(OR($E55="",$F55=""),"",IF(AND(AJ$5&lt;=$F55,AJ$5+6&gt;=$E55),"■",""))</x:f>
      </x:c>
      <x:c r="AK55" s="42" t="str">
        <x:f>IF(OR($E55="",$F55=""),"",IF(AND(AK$5&lt;=$F55,AK$5+6&gt;=$E55),"■",""))</x:f>
      </x:c>
    </x:row>
    <x:row r="56" ht="28" customHeight="1">
      <x:c r="A56" s="26" t="str">
        <x:v>QA-R8-001</x:v>
      </x:c>
      <x:c r="B56" s="26" t="str">
        <x:v>Integrated Fault/Security/Browser/Accessibility Suite</x:v>
      </x:c>
      <x:c r="C56" s="26" t="str">
        <x:v>Backlog</x:v>
      </x:c>
      <x:c r="D56" s="26" t="str">
        <x:v>R8</x:v>
      </x:c>
      <x:c r="E56" s="31" t="n">
        <x:v>46422</x:v>
      </x:c>
      <x:c r="F56" s="31" t="n">
        <x:v>46435</x:v>
      </x:c>
      <x:c r="G56" s="42" t="str">
        <x:f>IF(OR($E56="",$F56=""),"",IF(AND(G$5&lt;=$F56,G$5+6&gt;=$E56),"■",""))</x:f>
      </x:c>
      <x:c r="H56" s="42" t="str">
        <x:f>IF(OR($E56="",$F56=""),"",IF(AND(H$5&lt;=$F56,H$5+6&gt;=$E56),"■",""))</x:f>
      </x:c>
      <x:c r="I56" s="42" t="str">
        <x:f>IF(OR($E56="",$F56=""),"",IF(AND(I$5&lt;=$F56,I$5+6&gt;=$E56),"■",""))</x:f>
      </x:c>
      <x:c r="J56" s="42" t="str">
        <x:f>IF(OR($E56="",$F56=""),"",IF(AND(J$5&lt;=$F56,J$5+6&gt;=$E56),"■",""))</x:f>
      </x:c>
      <x:c r="K56" s="42" t="str">
        <x:f>IF(OR($E56="",$F56=""),"",IF(AND(K$5&lt;=$F56,K$5+6&gt;=$E56),"■",""))</x:f>
      </x:c>
      <x:c r="L56" s="42" t="str">
        <x:f>IF(OR($E56="",$F56=""),"",IF(AND(L$5&lt;=$F56,L$5+6&gt;=$E56),"■",""))</x:f>
      </x:c>
      <x:c r="M56" s="42" t="str">
        <x:f>IF(OR($E56="",$F56=""),"",IF(AND(M$5&lt;=$F56,M$5+6&gt;=$E56),"■",""))</x:f>
      </x:c>
      <x:c r="N56" s="42" t="str">
        <x:f>IF(OR($E56="",$F56=""),"",IF(AND(N$5&lt;=$F56,N$5+6&gt;=$E56),"■",""))</x:f>
      </x:c>
      <x:c r="O56" s="42" t="str">
        <x:f>IF(OR($E56="",$F56=""),"",IF(AND(O$5&lt;=$F56,O$5+6&gt;=$E56),"■",""))</x:f>
      </x:c>
      <x:c r="P56" s="42" t="str">
        <x:f>IF(OR($E56="",$F56=""),"",IF(AND(P$5&lt;=$F56,P$5+6&gt;=$E56),"■",""))</x:f>
      </x:c>
      <x:c r="Q56" s="42" t="str">
        <x:f>IF(OR($E56="",$F56=""),"",IF(AND(Q$5&lt;=$F56,Q$5+6&gt;=$E56),"■",""))</x:f>
      </x:c>
      <x:c r="R56" s="42" t="str">
        <x:f>IF(OR($E56="",$F56=""),"",IF(AND(R$5&lt;=$F56,R$5+6&gt;=$E56),"■",""))</x:f>
      </x:c>
      <x:c r="S56" s="42" t="str">
        <x:f>IF(OR($E56="",$F56=""),"",IF(AND(S$5&lt;=$F56,S$5+6&gt;=$E56),"■",""))</x:f>
      </x:c>
      <x:c r="T56" s="42" t="str">
        <x:f>IF(OR($E56="",$F56=""),"",IF(AND(T$5&lt;=$F56,T$5+6&gt;=$E56),"■",""))</x:f>
      </x:c>
      <x:c r="U56" s="42" t="str">
        <x:f>IF(OR($E56="",$F56=""),"",IF(AND(U$5&lt;=$F56,U$5+6&gt;=$E56),"■",""))</x:f>
      </x:c>
      <x:c r="V56" s="42" t="str">
        <x:f>IF(OR($E56="",$F56=""),"",IF(AND(V$5&lt;=$F56,V$5+6&gt;=$E56),"■",""))</x:f>
      </x:c>
      <x:c r="W56" s="42" t="str">
        <x:f>IF(OR($E56="",$F56=""),"",IF(AND(W$5&lt;=$F56,W$5+6&gt;=$E56),"■",""))</x:f>
      </x:c>
      <x:c r="X56" s="42" t="str">
        <x:f>IF(OR($E56="",$F56=""),"",IF(AND(X$5&lt;=$F56,X$5+6&gt;=$E56),"■",""))</x:f>
      </x:c>
      <x:c r="Y56" s="42" t="str">
        <x:f>IF(OR($E56="",$F56=""),"",IF(AND(Y$5&lt;=$F56,Y$5+6&gt;=$E56),"■",""))</x:f>
      </x:c>
      <x:c r="Z56" s="42" t="str">
        <x:f>IF(OR($E56="",$F56=""),"",IF(AND(Z$5&lt;=$F56,Z$5+6&gt;=$E56),"■",""))</x:f>
      </x:c>
      <x:c r="AA56" s="42" t="str">
        <x:f>IF(OR($E56="",$F56=""),"",IF(AND(AA$5&lt;=$F56,AA$5+6&gt;=$E56),"■",""))</x:f>
      </x:c>
      <x:c r="AB56" s="42" t="str">
        <x:f>IF(OR($E56="",$F56=""),"",IF(AND(AB$5&lt;=$F56,AB$5+6&gt;=$E56),"■",""))</x:f>
      </x:c>
      <x:c r="AC56" s="42" t="str">
        <x:f>IF(OR($E56="",$F56=""),"",IF(AND(AC$5&lt;=$F56,AC$5+6&gt;=$E56),"■",""))</x:f>
      </x:c>
      <x:c r="AD56" s="42" t="str">
        <x:f>IF(OR($E56="",$F56=""),"",IF(AND(AD$5&lt;=$F56,AD$5+6&gt;=$E56),"■",""))</x:f>
      </x:c>
      <x:c r="AE56" s="42" t="str">
        <x:f>IF(OR($E56="",$F56=""),"",IF(AND(AE$5&lt;=$F56,AE$5+6&gt;=$E56),"■",""))</x:f>
        <x:v>■</x:v>
      </x:c>
      <x:c r="AF56" s="42" t="str">
        <x:f>IF(OR($E56="",$F56=""),"",IF(AND(AF$5&lt;=$F56,AF$5+6&gt;=$E56),"■",""))</x:f>
        <x:v>■</x:v>
      </x:c>
      <x:c r="AG56" s="42" t="str">
        <x:f>IF(OR($E56="",$F56=""),"",IF(AND(AG$5&lt;=$F56,AG$5+6&gt;=$E56),"■",""))</x:f>
        <x:v>■</x:v>
      </x:c>
      <x:c r="AH56" s="42" t="str">
        <x:f>IF(OR($E56="",$F56=""),"",IF(AND(AH$5&lt;=$F56,AH$5+6&gt;=$E56),"■",""))</x:f>
      </x:c>
      <x:c r="AI56" s="42" t="str">
        <x:f>IF(OR($E56="",$F56=""),"",IF(AND(AI$5&lt;=$F56,AI$5+6&gt;=$E56),"■",""))</x:f>
      </x:c>
      <x:c r="AJ56" s="42" t="str">
        <x:f>IF(OR($E56="",$F56=""),"",IF(AND(AJ$5&lt;=$F56,AJ$5+6&gt;=$E56),"■",""))</x:f>
      </x:c>
      <x:c r="AK56" s="42" t="str">
        <x:f>IF(OR($E56="",$F56=""),"",IF(AND(AK$5&lt;=$F56,AK$5+6&gt;=$E56),"■",""))</x:f>
      </x:c>
    </x:row>
    <x:row r="57" ht="28" customHeight="1">
      <x:c r="A57" s="26" t="str">
        <x:v>REL-R8-001</x:v>
      </x:c>
      <x:c r="B57" s="26" t="str">
        <x:v>Resilience Release Acceptance</x:v>
      </x:c>
      <x:c r="C57" s="26" t="str">
        <x:v>Backlog</x:v>
      </x:c>
      <x:c r="D57" s="26" t="str">
        <x:v>R8</x:v>
      </x:c>
      <x:c r="E57" s="31" t="n">
        <x:v>46436</x:v>
      </x:c>
      <x:c r="F57" s="31" t="n">
        <x:v>46437</x:v>
      </x:c>
      <x:c r="G57" s="42" t="str">
        <x:f>IF(OR($E57="",$F57=""),"",IF(AND(G$5&lt;=$F57,G$5+6&gt;=$E57),"■",""))</x:f>
      </x:c>
      <x:c r="H57" s="42" t="str">
        <x:f>IF(OR($E57="",$F57=""),"",IF(AND(H$5&lt;=$F57,H$5+6&gt;=$E57),"■",""))</x:f>
      </x:c>
      <x:c r="I57" s="42" t="str">
        <x:f>IF(OR($E57="",$F57=""),"",IF(AND(I$5&lt;=$F57,I$5+6&gt;=$E57),"■",""))</x:f>
      </x:c>
      <x:c r="J57" s="42" t="str">
        <x:f>IF(OR($E57="",$F57=""),"",IF(AND(J$5&lt;=$F57,J$5+6&gt;=$E57),"■",""))</x:f>
      </x:c>
      <x:c r="K57" s="42" t="str">
        <x:f>IF(OR($E57="",$F57=""),"",IF(AND(K$5&lt;=$F57,K$5+6&gt;=$E57),"■",""))</x:f>
      </x:c>
      <x:c r="L57" s="42" t="str">
        <x:f>IF(OR($E57="",$F57=""),"",IF(AND(L$5&lt;=$F57,L$5+6&gt;=$E57),"■",""))</x:f>
      </x:c>
      <x:c r="M57" s="42" t="str">
        <x:f>IF(OR($E57="",$F57=""),"",IF(AND(M$5&lt;=$F57,M$5+6&gt;=$E57),"■",""))</x:f>
      </x:c>
      <x:c r="N57" s="42" t="str">
        <x:f>IF(OR($E57="",$F57=""),"",IF(AND(N$5&lt;=$F57,N$5+6&gt;=$E57),"■",""))</x:f>
      </x:c>
      <x:c r="O57" s="42" t="str">
        <x:f>IF(OR($E57="",$F57=""),"",IF(AND(O$5&lt;=$F57,O$5+6&gt;=$E57),"■",""))</x:f>
      </x:c>
      <x:c r="P57" s="42" t="str">
        <x:f>IF(OR($E57="",$F57=""),"",IF(AND(P$5&lt;=$F57,P$5+6&gt;=$E57),"■",""))</x:f>
      </x:c>
      <x:c r="Q57" s="42" t="str">
        <x:f>IF(OR($E57="",$F57=""),"",IF(AND(Q$5&lt;=$F57,Q$5+6&gt;=$E57),"■",""))</x:f>
      </x:c>
      <x:c r="R57" s="42" t="str">
        <x:f>IF(OR($E57="",$F57=""),"",IF(AND(R$5&lt;=$F57,R$5+6&gt;=$E57),"■",""))</x:f>
      </x:c>
      <x:c r="S57" s="42" t="str">
        <x:f>IF(OR($E57="",$F57=""),"",IF(AND(S$5&lt;=$F57,S$5+6&gt;=$E57),"■",""))</x:f>
      </x:c>
      <x:c r="T57" s="42" t="str">
        <x:f>IF(OR($E57="",$F57=""),"",IF(AND(T$5&lt;=$F57,T$5+6&gt;=$E57),"■",""))</x:f>
      </x:c>
      <x:c r="U57" s="42" t="str">
        <x:f>IF(OR($E57="",$F57=""),"",IF(AND(U$5&lt;=$F57,U$5+6&gt;=$E57),"■",""))</x:f>
      </x:c>
      <x:c r="V57" s="42" t="str">
        <x:f>IF(OR($E57="",$F57=""),"",IF(AND(V$5&lt;=$F57,V$5+6&gt;=$E57),"■",""))</x:f>
      </x:c>
      <x:c r="W57" s="42" t="str">
        <x:f>IF(OR($E57="",$F57=""),"",IF(AND(W$5&lt;=$F57,W$5+6&gt;=$E57),"■",""))</x:f>
      </x:c>
      <x:c r="X57" s="42" t="str">
        <x:f>IF(OR($E57="",$F57=""),"",IF(AND(X$5&lt;=$F57,X$5+6&gt;=$E57),"■",""))</x:f>
      </x:c>
      <x:c r="Y57" s="42" t="str">
        <x:f>IF(OR($E57="",$F57=""),"",IF(AND(Y$5&lt;=$F57,Y$5+6&gt;=$E57),"■",""))</x:f>
      </x:c>
      <x:c r="Z57" s="42" t="str">
        <x:f>IF(OR($E57="",$F57=""),"",IF(AND(Z$5&lt;=$F57,Z$5+6&gt;=$E57),"■",""))</x:f>
      </x:c>
      <x:c r="AA57" s="42" t="str">
        <x:f>IF(OR($E57="",$F57=""),"",IF(AND(AA$5&lt;=$F57,AA$5+6&gt;=$E57),"■",""))</x:f>
      </x:c>
      <x:c r="AB57" s="42" t="str">
        <x:f>IF(OR($E57="",$F57=""),"",IF(AND(AB$5&lt;=$F57,AB$5+6&gt;=$E57),"■",""))</x:f>
      </x:c>
      <x:c r="AC57" s="42" t="str">
        <x:f>IF(OR($E57="",$F57=""),"",IF(AND(AC$5&lt;=$F57,AC$5+6&gt;=$E57),"■",""))</x:f>
      </x:c>
      <x:c r="AD57" s="42" t="str">
        <x:f>IF(OR($E57="",$F57=""),"",IF(AND(AD$5&lt;=$F57,AD$5+6&gt;=$E57),"■",""))</x:f>
      </x:c>
      <x:c r="AE57" s="42" t="str">
        <x:f>IF(OR($E57="",$F57=""),"",IF(AND(AE$5&lt;=$F57,AE$5+6&gt;=$E57),"■",""))</x:f>
      </x:c>
      <x:c r="AF57" s="42" t="str">
        <x:f>IF(OR($E57="",$F57=""),"",IF(AND(AF$5&lt;=$F57,AF$5+6&gt;=$E57),"■",""))</x:f>
      </x:c>
      <x:c r="AG57" s="42" t="str">
        <x:f>IF(OR($E57="",$F57=""),"",IF(AND(AG$5&lt;=$F57,AG$5+6&gt;=$E57),"■",""))</x:f>
        <x:v>■</x:v>
      </x:c>
      <x:c r="AH57" s="42" t="str">
        <x:f>IF(OR($E57="",$F57=""),"",IF(AND(AH$5&lt;=$F57,AH$5+6&gt;=$E57),"■",""))</x:f>
      </x:c>
      <x:c r="AI57" s="42" t="str">
        <x:f>IF(OR($E57="",$F57=""),"",IF(AND(AI$5&lt;=$F57,AI$5+6&gt;=$E57),"■",""))</x:f>
      </x:c>
      <x:c r="AJ57" s="42" t="str">
        <x:f>IF(OR($E57="",$F57=""),"",IF(AND(AJ$5&lt;=$F57,AJ$5+6&gt;=$E57),"■",""))</x:f>
      </x:c>
      <x:c r="AK57" s="42" t="str">
        <x:f>IF(OR($E57="",$F57=""),"",IF(AND(AK$5&lt;=$F57,AK$5+6&gt;=$E57),"■",""))</x:f>
      </x:c>
    </x:row>
    <x:row r="58" ht="28" customHeight="1">
      <x:c r="A58" s="26" t="str">
        <x:v>PRD-R9-001</x:v>
      </x:c>
      <x:c r="B58" s="26" t="str">
        <x:v>Launch Acceptance Plan</x:v>
      </x:c>
      <x:c r="C58" s="26" t="str">
        <x:v>Done</x:v>
      </x:c>
      <x:c r="D58" s="26" t="str">
        <x:v>R9</x:v>
      </x:c>
      <x:c r="E58" s="31" t="n">
        <x:v>46440</x:v>
      </x:c>
      <x:c r="F58" s="31" t="n">
        <x:v>46442</x:v>
      </x:c>
      <x:c r="G58" s="42" t="str">
        <x:f>IF(OR($E58="",$F58=""),"",IF(AND(G$5&lt;=$F58,G$5+6&gt;=$E58),"■",""))</x:f>
      </x:c>
      <x:c r="H58" s="42" t="str">
        <x:f>IF(OR($E58="",$F58=""),"",IF(AND(H$5&lt;=$F58,H$5+6&gt;=$E58),"■",""))</x:f>
      </x:c>
      <x:c r="I58" s="42" t="str">
        <x:f>IF(OR($E58="",$F58=""),"",IF(AND(I$5&lt;=$F58,I$5+6&gt;=$E58),"■",""))</x:f>
      </x:c>
      <x:c r="J58" s="42" t="str">
        <x:f>IF(OR($E58="",$F58=""),"",IF(AND(J$5&lt;=$F58,J$5+6&gt;=$E58),"■",""))</x:f>
      </x:c>
      <x:c r="K58" s="42" t="str">
        <x:f>IF(OR($E58="",$F58=""),"",IF(AND(K$5&lt;=$F58,K$5+6&gt;=$E58),"■",""))</x:f>
      </x:c>
      <x:c r="L58" s="42" t="str">
        <x:f>IF(OR($E58="",$F58=""),"",IF(AND(L$5&lt;=$F58,L$5+6&gt;=$E58),"■",""))</x:f>
      </x:c>
      <x:c r="M58" s="42" t="str">
        <x:f>IF(OR($E58="",$F58=""),"",IF(AND(M$5&lt;=$F58,M$5+6&gt;=$E58),"■",""))</x:f>
      </x:c>
      <x:c r="N58" s="42" t="str">
        <x:f>IF(OR($E58="",$F58=""),"",IF(AND(N$5&lt;=$F58,N$5+6&gt;=$E58),"■",""))</x:f>
      </x:c>
      <x:c r="O58" s="42" t="str">
        <x:f>IF(OR($E58="",$F58=""),"",IF(AND(O$5&lt;=$F58,O$5+6&gt;=$E58),"■",""))</x:f>
      </x:c>
      <x:c r="P58" s="42" t="str">
        <x:f>IF(OR($E58="",$F58=""),"",IF(AND(P$5&lt;=$F58,P$5+6&gt;=$E58),"■",""))</x:f>
      </x:c>
      <x:c r="Q58" s="42" t="str">
        <x:f>IF(OR($E58="",$F58=""),"",IF(AND(Q$5&lt;=$F58,Q$5+6&gt;=$E58),"■",""))</x:f>
      </x:c>
      <x:c r="R58" s="42" t="str">
        <x:f>IF(OR($E58="",$F58=""),"",IF(AND(R$5&lt;=$F58,R$5+6&gt;=$E58),"■",""))</x:f>
      </x:c>
      <x:c r="S58" s="42" t="str">
        <x:f>IF(OR($E58="",$F58=""),"",IF(AND(S$5&lt;=$F58,S$5+6&gt;=$E58),"■",""))</x:f>
      </x:c>
      <x:c r="T58" s="42" t="str">
        <x:f>IF(OR($E58="",$F58=""),"",IF(AND(T$5&lt;=$F58,T$5+6&gt;=$E58),"■",""))</x:f>
      </x:c>
      <x:c r="U58" s="42" t="str">
        <x:f>IF(OR($E58="",$F58=""),"",IF(AND(U$5&lt;=$F58,U$5+6&gt;=$E58),"■",""))</x:f>
      </x:c>
      <x:c r="V58" s="42" t="str">
        <x:f>IF(OR($E58="",$F58=""),"",IF(AND(V$5&lt;=$F58,V$5+6&gt;=$E58),"■",""))</x:f>
      </x:c>
      <x:c r="W58" s="42" t="str">
        <x:f>IF(OR($E58="",$F58=""),"",IF(AND(W$5&lt;=$F58,W$5+6&gt;=$E58),"■",""))</x:f>
      </x:c>
      <x:c r="X58" s="42" t="str">
        <x:f>IF(OR($E58="",$F58=""),"",IF(AND(X$5&lt;=$F58,X$5+6&gt;=$E58),"■",""))</x:f>
      </x:c>
      <x:c r="Y58" s="42" t="str">
        <x:f>IF(OR($E58="",$F58=""),"",IF(AND(Y$5&lt;=$F58,Y$5+6&gt;=$E58),"■",""))</x:f>
      </x:c>
      <x:c r="Z58" s="42" t="str">
        <x:f>IF(OR($E58="",$F58=""),"",IF(AND(Z$5&lt;=$F58,Z$5+6&gt;=$E58),"■",""))</x:f>
      </x:c>
      <x:c r="AA58" s="42" t="str">
        <x:f>IF(OR($E58="",$F58=""),"",IF(AND(AA$5&lt;=$F58,AA$5+6&gt;=$E58),"■",""))</x:f>
      </x:c>
      <x:c r="AB58" s="42" t="str">
        <x:f>IF(OR($E58="",$F58=""),"",IF(AND(AB$5&lt;=$F58,AB$5+6&gt;=$E58),"■",""))</x:f>
      </x:c>
      <x:c r="AC58" s="42" t="str">
        <x:f>IF(OR($E58="",$F58=""),"",IF(AND(AC$5&lt;=$F58,AC$5+6&gt;=$E58),"■",""))</x:f>
      </x:c>
      <x:c r="AD58" s="42" t="str">
        <x:f>IF(OR($E58="",$F58=""),"",IF(AND(AD$5&lt;=$F58,AD$5+6&gt;=$E58),"■",""))</x:f>
      </x:c>
      <x:c r="AE58" s="42" t="str">
        <x:f>IF(OR($E58="",$F58=""),"",IF(AND(AE$5&lt;=$F58,AE$5+6&gt;=$E58),"■",""))</x:f>
      </x:c>
      <x:c r="AF58" s="42" t="str">
        <x:f>IF(OR($E58="",$F58=""),"",IF(AND(AF$5&lt;=$F58,AF$5+6&gt;=$E58),"■",""))</x:f>
      </x:c>
      <x:c r="AG58" s="42" t="str">
        <x:f>IF(OR($E58="",$F58=""),"",IF(AND(AG$5&lt;=$F58,AG$5+6&gt;=$E58),"■",""))</x:f>
      </x:c>
      <x:c r="AH58" s="42" t="str">
        <x:f>IF(OR($E58="",$F58=""),"",IF(AND(AH$5&lt;=$F58,AH$5+6&gt;=$E58),"■",""))</x:f>
        <x:v>■</x:v>
      </x:c>
      <x:c r="AI58" s="42" t="str">
        <x:f>IF(OR($E58="",$F58=""),"",IF(AND(AI$5&lt;=$F58,AI$5+6&gt;=$E58),"■",""))</x:f>
      </x:c>
      <x:c r="AJ58" s="42" t="str">
        <x:f>IF(OR($E58="",$F58=""),"",IF(AND(AJ$5&lt;=$F58,AJ$5+6&gt;=$E58),"■",""))</x:f>
      </x:c>
      <x:c r="AK58" s="42" t="str">
        <x:f>IF(OR($E58="",$F58=""),"",IF(AND(AK$5&lt;=$F58,AK$5+6&gt;=$E58),"■",""))</x:f>
      </x:c>
    </x:row>
    <x:row r="59" ht="28" customHeight="1">
      <x:c r="A59" s="26" t="str">
        <x:v>QA-R9-001</x:v>
      </x:c>
      <x:c r="B59" s="26" t="str">
        <x:v>Owner UAT/Recovery Ceremony/Stabilization</x:v>
      </x:c>
      <x:c r="C59" s="26" t="str">
        <x:v>Backlog</x:v>
      </x:c>
      <x:c r="D59" s="26" t="str">
        <x:v>R9</x:v>
      </x:c>
      <x:c r="E59" s="31" t="n">
        <x:v>46440</x:v>
      </x:c>
      <x:c r="F59" s="31" t="n">
        <x:v>46456</x:v>
      </x:c>
      <x:c r="G59" s="42" t="str">
        <x:f>IF(OR($E59="",$F59=""),"",IF(AND(G$5&lt;=$F59,G$5+6&gt;=$E59),"■",""))</x:f>
      </x:c>
      <x:c r="H59" s="42" t="str">
        <x:f>IF(OR($E59="",$F59=""),"",IF(AND(H$5&lt;=$F59,H$5+6&gt;=$E59),"■",""))</x:f>
      </x:c>
      <x:c r="I59" s="42" t="str">
        <x:f>IF(OR($E59="",$F59=""),"",IF(AND(I$5&lt;=$F59,I$5+6&gt;=$E59),"■",""))</x:f>
      </x:c>
      <x:c r="J59" s="42" t="str">
        <x:f>IF(OR($E59="",$F59=""),"",IF(AND(J$5&lt;=$F59,J$5+6&gt;=$E59),"■",""))</x:f>
      </x:c>
      <x:c r="K59" s="42" t="str">
        <x:f>IF(OR($E59="",$F59=""),"",IF(AND(K$5&lt;=$F59,K$5+6&gt;=$E59),"■",""))</x:f>
      </x:c>
      <x:c r="L59" s="42" t="str">
        <x:f>IF(OR($E59="",$F59=""),"",IF(AND(L$5&lt;=$F59,L$5+6&gt;=$E59),"■",""))</x:f>
      </x:c>
      <x:c r="M59" s="42" t="str">
        <x:f>IF(OR($E59="",$F59=""),"",IF(AND(M$5&lt;=$F59,M$5+6&gt;=$E59),"■",""))</x:f>
      </x:c>
      <x:c r="N59" s="42" t="str">
        <x:f>IF(OR($E59="",$F59=""),"",IF(AND(N$5&lt;=$F59,N$5+6&gt;=$E59),"■",""))</x:f>
      </x:c>
      <x:c r="O59" s="42" t="str">
        <x:f>IF(OR($E59="",$F59=""),"",IF(AND(O$5&lt;=$F59,O$5+6&gt;=$E59),"■",""))</x:f>
      </x:c>
      <x:c r="P59" s="42" t="str">
        <x:f>IF(OR($E59="",$F59=""),"",IF(AND(P$5&lt;=$F59,P$5+6&gt;=$E59),"■",""))</x:f>
      </x:c>
      <x:c r="Q59" s="42" t="str">
        <x:f>IF(OR($E59="",$F59=""),"",IF(AND(Q$5&lt;=$F59,Q$5+6&gt;=$E59),"■",""))</x:f>
      </x:c>
      <x:c r="R59" s="42" t="str">
        <x:f>IF(OR($E59="",$F59=""),"",IF(AND(R$5&lt;=$F59,R$5+6&gt;=$E59),"■",""))</x:f>
      </x:c>
      <x:c r="S59" s="42" t="str">
        <x:f>IF(OR($E59="",$F59=""),"",IF(AND(S$5&lt;=$F59,S$5+6&gt;=$E59),"■",""))</x:f>
      </x:c>
      <x:c r="T59" s="42" t="str">
        <x:f>IF(OR($E59="",$F59=""),"",IF(AND(T$5&lt;=$F59,T$5+6&gt;=$E59),"■",""))</x:f>
      </x:c>
      <x:c r="U59" s="42" t="str">
        <x:f>IF(OR($E59="",$F59=""),"",IF(AND(U$5&lt;=$F59,U$5+6&gt;=$E59),"■",""))</x:f>
      </x:c>
      <x:c r="V59" s="42" t="str">
        <x:f>IF(OR($E59="",$F59=""),"",IF(AND(V$5&lt;=$F59,V$5+6&gt;=$E59),"■",""))</x:f>
      </x:c>
      <x:c r="W59" s="42" t="str">
        <x:f>IF(OR($E59="",$F59=""),"",IF(AND(W$5&lt;=$F59,W$5+6&gt;=$E59),"■",""))</x:f>
      </x:c>
      <x:c r="X59" s="42" t="str">
        <x:f>IF(OR($E59="",$F59=""),"",IF(AND(X$5&lt;=$F59,X$5+6&gt;=$E59),"■",""))</x:f>
      </x:c>
      <x:c r="Y59" s="42" t="str">
        <x:f>IF(OR($E59="",$F59=""),"",IF(AND(Y$5&lt;=$F59,Y$5+6&gt;=$E59),"■",""))</x:f>
      </x:c>
      <x:c r="Z59" s="42" t="str">
        <x:f>IF(OR($E59="",$F59=""),"",IF(AND(Z$5&lt;=$F59,Z$5+6&gt;=$E59),"■",""))</x:f>
      </x:c>
      <x:c r="AA59" s="42" t="str">
        <x:f>IF(OR($E59="",$F59=""),"",IF(AND(AA$5&lt;=$F59,AA$5+6&gt;=$E59),"■",""))</x:f>
      </x:c>
      <x:c r="AB59" s="42" t="str">
        <x:f>IF(OR($E59="",$F59=""),"",IF(AND(AB$5&lt;=$F59,AB$5+6&gt;=$E59),"■",""))</x:f>
      </x:c>
      <x:c r="AC59" s="42" t="str">
        <x:f>IF(OR($E59="",$F59=""),"",IF(AND(AC$5&lt;=$F59,AC$5+6&gt;=$E59),"■",""))</x:f>
      </x:c>
      <x:c r="AD59" s="42" t="str">
        <x:f>IF(OR($E59="",$F59=""),"",IF(AND(AD$5&lt;=$F59,AD$5+6&gt;=$E59),"■",""))</x:f>
      </x:c>
      <x:c r="AE59" s="42" t="str">
        <x:f>IF(OR($E59="",$F59=""),"",IF(AND(AE$5&lt;=$F59,AE$5+6&gt;=$E59),"■",""))</x:f>
      </x:c>
      <x:c r="AF59" s="42" t="str">
        <x:f>IF(OR($E59="",$F59=""),"",IF(AND(AF$5&lt;=$F59,AF$5+6&gt;=$E59),"■",""))</x:f>
      </x:c>
      <x:c r="AG59" s="42" t="str">
        <x:f>IF(OR($E59="",$F59=""),"",IF(AND(AG$5&lt;=$F59,AG$5+6&gt;=$E59),"■",""))</x:f>
      </x:c>
      <x:c r="AH59" s="42" t="str">
        <x:f>IF(OR($E59="",$F59=""),"",IF(AND(AH$5&lt;=$F59,AH$5+6&gt;=$E59),"■",""))</x:f>
        <x:v>■</x:v>
      </x:c>
      <x:c r="AI59" s="42" t="str">
        <x:f>IF(OR($E59="",$F59=""),"",IF(AND(AI$5&lt;=$F59,AI$5+6&gt;=$E59),"■",""))</x:f>
        <x:v>■</x:v>
      </x:c>
      <x:c r="AJ59" s="42" t="str">
        <x:f>IF(OR($E59="",$F59=""),"",IF(AND(AJ$5&lt;=$F59,AJ$5+6&gt;=$E59),"■",""))</x:f>
        <x:v>■</x:v>
      </x:c>
      <x:c r="AK59" s="42" t="str">
        <x:f>IF(OR($E59="",$F59=""),"",IF(AND(AK$5&lt;=$F59,AK$5+6&gt;=$E59),"■",""))</x:f>
      </x:c>
    </x:row>
    <x:row r="60" ht="28" customHeight="1">
      <x:c r="A60" s="26" t="str">
        <x:v>REL-R9-001</x:v>
      </x:c>
      <x:c r="B60" s="26" t="str">
        <x:v>Private Launch Go/No-go &amp; Observation</x:v>
      </x:c>
      <x:c r="C60" s="26" t="str">
        <x:v>Backlog</x:v>
      </x:c>
      <x:c r="D60" s="26" t="str">
        <x:v>R9</x:v>
      </x:c>
      <x:c r="E60" s="31" t="n">
        <x:v>46457</x:v>
      </x:c>
      <x:c r="F60" s="31" t="n">
        <x:v>46458</x:v>
      </x:c>
      <x:c r="G60" s="42" t="str">
        <x:f>IF(OR($E60="",$F60=""),"",IF(AND(G$5&lt;=$F60,G$5+6&gt;=$E60),"■",""))</x:f>
      </x:c>
      <x:c r="H60" s="42" t="str">
        <x:f>IF(OR($E60="",$F60=""),"",IF(AND(H$5&lt;=$F60,H$5+6&gt;=$E60),"■",""))</x:f>
      </x:c>
      <x:c r="I60" s="42" t="str">
        <x:f>IF(OR($E60="",$F60=""),"",IF(AND(I$5&lt;=$F60,I$5+6&gt;=$E60),"■",""))</x:f>
      </x:c>
      <x:c r="J60" s="42" t="str">
        <x:f>IF(OR($E60="",$F60=""),"",IF(AND(J$5&lt;=$F60,J$5+6&gt;=$E60),"■",""))</x:f>
      </x:c>
      <x:c r="K60" s="42" t="str">
        <x:f>IF(OR($E60="",$F60=""),"",IF(AND(K$5&lt;=$F60,K$5+6&gt;=$E60),"■",""))</x:f>
      </x:c>
      <x:c r="L60" s="42" t="str">
        <x:f>IF(OR($E60="",$F60=""),"",IF(AND(L$5&lt;=$F60,L$5+6&gt;=$E60),"■",""))</x:f>
      </x:c>
      <x:c r="M60" s="42" t="str">
        <x:f>IF(OR($E60="",$F60=""),"",IF(AND(M$5&lt;=$F60,M$5+6&gt;=$E60),"■",""))</x:f>
      </x:c>
      <x:c r="N60" s="42" t="str">
        <x:f>IF(OR($E60="",$F60=""),"",IF(AND(N$5&lt;=$F60,N$5+6&gt;=$E60),"■",""))</x:f>
      </x:c>
      <x:c r="O60" s="42" t="str">
        <x:f>IF(OR($E60="",$F60=""),"",IF(AND(O$5&lt;=$F60,O$5+6&gt;=$E60),"■",""))</x:f>
      </x:c>
      <x:c r="P60" s="42" t="str">
        <x:f>IF(OR($E60="",$F60=""),"",IF(AND(P$5&lt;=$F60,P$5+6&gt;=$E60),"■",""))</x:f>
      </x:c>
      <x:c r="Q60" s="42" t="str">
        <x:f>IF(OR($E60="",$F60=""),"",IF(AND(Q$5&lt;=$F60,Q$5+6&gt;=$E60),"■",""))</x:f>
      </x:c>
      <x:c r="R60" s="42" t="str">
        <x:f>IF(OR($E60="",$F60=""),"",IF(AND(R$5&lt;=$F60,R$5+6&gt;=$E60),"■",""))</x:f>
      </x:c>
      <x:c r="S60" s="42" t="str">
        <x:f>IF(OR($E60="",$F60=""),"",IF(AND(S$5&lt;=$F60,S$5+6&gt;=$E60),"■",""))</x:f>
      </x:c>
      <x:c r="T60" s="42" t="str">
        <x:f>IF(OR($E60="",$F60=""),"",IF(AND(T$5&lt;=$F60,T$5+6&gt;=$E60),"■",""))</x:f>
      </x:c>
      <x:c r="U60" s="42" t="str">
        <x:f>IF(OR($E60="",$F60=""),"",IF(AND(U$5&lt;=$F60,U$5+6&gt;=$E60),"■",""))</x:f>
      </x:c>
      <x:c r="V60" s="42" t="str">
        <x:f>IF(OR($E60="",$F60=""),"",IF(AND(V$5&lt;=$F60,V$5+6&gt;=$E60),"■",""))</x:f>
      </x:c>
      <x:c r="W60" s="42" t="str">
        <x:f>IF(OR($E60="",$F60=""),"",IF(AND(W$5&lt;=$F60,W$5+6&gt;=$E60),"■",""))</x:f>
      </x:c>
      <x:c r="X60" s="42" t="str">
        <x:f>IF(OR($E60="",$F60=""),"",IF(AND(X$5&lt;=$F60,X$5+6&gt;=$E60),"■",""))</x:f>
      </x:c>
      <x:c r="Y60" s="42" t="str">
        <x:f>IF(OR($E60="",$F60=""),"",IF(AND(Y$5&lt;=$F60,Y$5+6&gt;=$E60),"■",""))</x:f>
      </x:c>
      <x:c r="Z60" s="42" t="str">
        <x:f>IF(OR($E60="",$F60=""),"",IF(AND(Z$5&lt;=$F60,Z$5+6&gt;=$E60),"■",""))</x:f>
      </x:c>
      <x:c r="AA60" s="42" t="str">
        <x:f>IF(OR($E60="",$F60=""),"",IF(AND(AA$5&lt;=$F60,AA$5+6&gt;=$E60),"■",""))</x:f>
      </x:c>
      <x:c r="AB60" s="42" t="str">
        <x:f>IF(OR($E60="",$F60=""),"",IF(AND(AB$5&lt;=$F60,AB$5+6&gt;=$E60),"■",""))</x:f>
      </x:c>
      <x:c r="AC60" s="42" t="str">
        <x:f>IF(OR($E60="",$F60=""),"",IF(AND(AC$5&lt;=$F60,AC$5+6&gt;=$E60),"■",""))</x:f>
      </x:c>
      <x:c r="AD60" s="42" t="str">
        <x:f>IF(OR($E60="",$F60=""),"",IF(AND(AD$5&lt;=$F60,AD$5+6&gt;=$E60),"■",""))</x:f>
      </x:c>
      <x:c r="AE60" s="42" t="str">
        <x:f>IF(OR($E60="",$F60=""),"",IF(AND(AE$5&lt;=$F60,AE$5+6&gt;=$E60),"■",""))</x:f>
      </x:c>
      <x:c r="AF60" s="42" t="str">
        <x:f>IF(OR($E60="",$F60=""),"",IF(AND(AF$5&lt;=$F60,AF$5+6&gt;=$E60),"■",""))</x:f>
      </x:c>
      <x:c r="AG60" s="42" t="str">
        <x:f>IF(OR($E60="",$F60=""),"",IF(AND(AG$5&lt;=$F60,AG$5+6&gt;=$E60),"■",""))</x:f>
      </x:c>
      <x:c r="AH60" s="42" t="str">
        <x:f>IF(OR($E60="",$F60=""),"",IF(AND(AH$5&lt;=$F60,AH$5+6&gt;=$E60),"■",""))</x:f>
      </x:c>
      <x:c r="AI60" s="42" t="str">
        <x:f>IF(OR($E60="",$F60=""),"",IF(AND(AI$5&lt;=$F60,AI$5+6&gt;=$E60),"■",""))</x:f>
      </x:c>
      <x:c r="AJ60" s="42" t="str">
        <x:f>IF(OR($E60="",$F60=""),"",IF(AND(AJ$5&lt;=$F60,AJ$5+6&gt;=$E60),"■",""))</x:f>
        <x:v>■</x:v>
      </x:c>
      <x:c r="AK60" s="42" t="str">
        <x:f>IF(OR($E60="",$F60=""),"",IF(AND(AK$5&lt;=$F60,AK$5+6&gt;=$E60),"■",""))</x:f>
      </x:c>
    </x:row>
    <x:row r="61" ht="28" customHeight="1">
      <x:c r="A61" s="26" t="str">
        <x:v>PID-R10-001</x:v>
      </x:c>
      <x:c r="B61" s="26" t="str">
        <x:v>Object-store Transition PID</x:v>
      </x:c>
      <x:c r="C61" s="26" t="str">
        <x:v>Done</x:v>
      </x:c>
      <x:c r="D61" s="26" t="str">
        <x:v>R10</x:v>
      </x:c>
      <x:c r="E61" s="31"/>
      <x:c r="F61" s="31"/>
      <x:c r="G61" s="42" t="str">
        <x:f>IF(OR($E61="",$F61=""),"",IF(AND(G$5&lt;=$F61,G$5+6&gt;=$E61),"■",""))</x:f>
      </x:c>
      <x:c r="H61" s="42" t="str">
        <x:f>IF(OR($E61="",$F61=""),"",IF(AND(H$5&lt;=$F61,H$5+6&gt;=$E61),"■",""))</x:f>
      </x:c>
      <x:c r="I61" s="42" t="str">
        <x:f>IF(OR($E61="",$F61=""),"",IF(AND(I$5&lt;=$F61,I$5+6&gt;=$E61),"■",""))</x:f>
      </x:c>
      <x:c r="J61" s="42" t="str">
        <x:f>IF(OR($E61="",$F61=""),"",IF(AND(J$5&lt;=$F61,J$5+6&gt;=$E61),"■",""))</x:f>
      </x:c>
      <x:c r="K61" s="42" t="str">
        <x:f>IF(OR($E61="",$F61=""),"",IF(AND(K$5&lt;=$F61,K$5+6&gt;=$E61),"■",""))</x:f>
      </x:c>
      <x:c r="L61" s="42" t="str">
        <x:f>IF(OR($E61="",$F61=""),"",IF(AND(L$5&lt;=$F61,L$5+6&gt;=$E61),"■",""))</x:f>
      </x:c>
      <x:c r="M61" s="42" t="str">
        <x:f>IF(OR($E61="",$F61=""),"",IF(AND(M$5&lt;=$F61,M$5+6&gt;=$E61),"■",""))</x:f>
      </x:c>
      <x:c r="N61" s="42" t="str">
        <x:f>IF(OR($E61="",$F61=""),"",IF(AND(N$5&lt;=$F61,N$5+6&gt;=$E61),"■",""))</x:f>
      </x:c>
      <x:c r="O61" s="42" t="str">
        <x:f>IF(OR($E61="",$F61=""),"",IF(AND(O$5&lt;=$F61,O$5+6&gt;=$E61),"■",""))</x:f>
      </x:c>
      <x:c r="P61" s="42" t="str">
        <x:f>IF(OR($E61="",$F61=""),"",IF(AND(P$5&lt;=$F61,P$5+6&gt;=$E61),"■",""))</x:f>
      </x:c>
      <x:c r="Q61" s="42" t="str">
        <x:f>IF(OR($E61="",$F61=""),"",IF(AND(Q$5&lt;=$F61,Q$5+6&gt;=$E61),"■",""))</x:f>
      </x:c>
      <x:c r="R61" s="42" t="str">
        <x:f>IF(OR($E61="",$F61=""),"",IF(AND(R$5&lt;=$F61,R$5+6&gt;=$E61),"■",""))</x:f>
      </x:c>
      <x:c r="S61" s="42" t="str">
        <x:f>IF(OR($E61="",$F61=""),"",IF(AND(S$5&lt;=$F61,S$5+6&gt;=$E61),"■",""))</x:f>
      </x:c>
      <x:c r="T61" s="42" t="str">
        <x:f>IF(OR($E61="",$F61=""),"",IF(AND(T$5&lt;=$F61,T$5+6&gt;=$E61),"■",""))</x:f>
      </x:c>
      <x:c r="U61" s="42" t="str">
        <x:f>IF(OR($E61="",$F61=""),"",IF(AND(U$5&lt;=$F61,U$5+6&gt;=$E61),"■",""))</x:f>
      </x:c>
      <x:c r="V61" s="42" t="str">
        <x:f>IF(OR($E61="",$F61=""),"",IF(AND(V$5&lt;=$F61,V$5+6&gt;=$E61),"■",""))</x:f>
      </x:c>
      <x:c r="W61" s="42" t="str">
        <x:f>IF(OR($E61="",$F61=""),"",IF(AND(W$5&lt;=$F61,W$5+6&gt;=$E61),"■",""))</x:f>
      </x:c>
      <x:c r="X61" s="42" t="str">
        <x:f>IF(OR($E61="",$F61=""),"",IF(AND(X$5&lt;=$F61,X$5+6&gt;=$E61),"■",""))</x:f>
      </x:c>
      <x:c r="Y61" s="42" t="str">
        <x:f>IF(OR($E61="",$F61=""),"",IF(AND(Y$5&lt;=$F61,Y$5+6&gt;=$E61),"■",""))</x:f>
      </x:c>
      <x:c r="Z61" s="42" t="str">
        <x:f>IF(OR($E61="",$F61=""),"",IF(AND(Z$5&lt;=$F61,Z$5+6&gt;=$E61),"■",""))</x:f>
      </x:c>
      <x:c r="AA61" s="42" t="str">
        <x:f>IF(OR($E61="",$F61=""),"",IF(AND(AA$5&lt;=$F61,AA$5+6&gt;=$E61),"■",""))</x:f>
      </x:c>
      <x:c r="AB61" s="42" t="str">
        <x:f>IF(OR($E61="",$F61=""),"",IF(AND(AB$5&lt;=$F61,AB$5+6&gt;=$E61),"■",""))</x:f>
      </x:c>
      <x:c r="AC61" s="42" t="str">
        <x:f>IF(OR($E61="",$F61=""),"",IF(AND(AC$5&lt;=$F61,AC$5+6&gt;=$E61),"■",""))</x:f>
      </x:c>
      <x:c r="AD61" s="42" t="str">
        <x:f>IF(OR($E61="",$F61=""),"",IF(AND(AD$5&lt;=$F61,AD$5+6&gt;=$E61),"■",""))</x:f>
      </x:c>
      <x:c r="AE61" s="42" t="str">
        <x:f>IF(OR($E61="",$F61=""),"",IF(AND(AE$5&lt;=$F61,AE$5+6&gt;=$E61),"■",""))</x:f>
      </x:c>
      <x:c r="AF61" s="42" t="str">
        <x:f>IF(OR($E61="",$F61=""),"",IF(AND(AF$5&lt;=$F61,AF$5+6&gt;=$E61),"■",""))</x:f>
      </x:c>
      <x:c r="AG61" s="42" t="str">
        <x:f>IF(OR($E61="",$F61=""),"",IF(AND(AG$5&lt;=$F61,AG$5+6&gt;=$E61),"■",""))</x:f>
      </x:c>
      <x:c r="AH61" s="42" t="str">
        <x:f>IF(OR($E61="",$F61=""),"",IF(AND(AH$5&lt;=$F61,AH$5+6&gt;=$E61),"■",""))</x:f>
      </x:c>
      <x:c r="AI61" s="42" t="str">
        <x:f>IF(OR($E61="",$F61=""),"",IF(AND(AI$5&lt;=$F61,AI$5+6&gt;=$E61),"■",""))</x:f>
      </x:c>
      <x:c r="AJ61" s="42" t="str">
        <x:f>IF(OR($E61="",$F61=""),"",IF(AND(AJ$5&lt;=$F61,AJ$5+6&gt;=$E61),"■",""))</x:f>
      </x:c>
      <x:c r="AK61" s="42" t="str">
        <x:f>IF(OR($E61="",$F61=""),"",IF(AND(AK$5&lt;=$F61,AK$5+6&gt;=$E61),"■",""))</x:f>
      </x:c>
    </x:row>
    <x:row r="62" ht="28" customHeight="1">
      <x:c r="A62" s="26" t="str">
        <x:v>ARCH-R10-001</x:v>
      </x:c>
      <x:c r="B62" s="26" t="str">
        <x:v>Migration/Inventory/Backup/Rollback Runbook</x:v>
      </x:c>
      <x:c r="C62" s="26" t="str">
        <x:v>Backlog</x:v>
      </x:c>
      <x:c r="D62" s="26" t="str">
        <x:v>R10</x:v>
      </x:c>
      <x:c r="E62" s="31"/>
      <x:c r="F62" s="31"/>
      <x:c r="G62" s="42" t="str">
        <x:f>IF(OR($E62="",$F62=""),"",IF(AND(G$5&lt;=$F62,G$5+6&gt;=$E62),"■",""))</x:f>
      </x:c>
      <x:c r="H62" s="42" t="str">
        <x:f>IF(OR($E62="",$F62=""),"",IF(AND(H$5&lt;=$F62,H$5+6&gt;=$E62),"■",""))</x:f>
      </x:c>
      <x:c r="I62" s="42" t="str">
        <x:f>IF(OR($E62="",$F62=""),"",IF(AND(I$5&lt;=$F62,I$5+6&gt;=$E62),"■",""))</x:f>
      </x:c>
      <x:c r="J62" s="42" t="str">
        <x:f>IF(OR($E62="",$F62=""),"",IF(AND(J$5&lt;=$F62,J$5+6&gt;=$E62),"■",""))</x:f>
      </x:c>
      <x:c r="K62" s="42" t="str">
        <x:f>IF(OR($E62="",$F62=""),"",IF(AND(K$5&lt;=$F62,K$5+6&gt;=$E62),"■",""))</x:f>
      </x:c>
      <x:c r="L62" s="42" t="str">
        <x:f>IF(OR($E62="",$F62=""),"",IF(AND(L$5&lt;=$F62,L$5+6&gt;=$E62),"■",""))</x:f>
      </x:c>
      <x:c r="M62" s="42" t="str">
        <x:f>IF(OR($E62="",$F62=""),"",IF(AND(M$5&lt;=$F62,M$5+6&gt;=$E62),"■",""))</x:f>
      </x:c>
      <x:c r="N62" s="42" t="str">
        <x:f>IF(OR($E62="",$F62=""),"",IF(AND(N$5&lt;=$F62,N$5+6&gt;=$E62),"■",""))</x:f>
      </x:c>
      <x:c r="O62" s="42" t="str">
        <x:f>IF(OR($E62="",$F62=""),"",IF(AND(O$5&lt;=$F62,O$5+6&gt;=$E62),"■",""))</x:f>
      </x:c>
      <x:c r="P62" s="42" t="str">
        <x:f>IF(OR($E62="",$F62=""),"",IF(AND(P$5&lt;=$F62,P$5+6&gt;=$E62),"■",""))</x:f>
      </x:c>
      <x:c r="Q62" s="42" t="str">
        <x:f>IF(OR($E62="",$F62=""),"",IF(AND(Q$5&lt;=$F62,Q$5+6&gt;=$E62),"■",""))</x:f>
      </x:c>
      <x:c r="R62" s="42" t="str">
        <x:f>IF(OR($E62="",$F62=""),"",IF(AND(R$5&lt;=$F62,R$5+6&gt;=$E62),"■",""))</x:f>
      </x:c>
      <x:c r="S62" s="42" t="str">
        <x:f>IF(OR($E62="",$F62=""),"",IF(AND(S$5&lt;=$F62,S$5+6&gt;=$E62),"■",""))</x:f>
      </x:c>
      <x:c r="T62" s="42" t="str">
        <x:f>IF(OR($E62="",$F62=""),"",IF(AND(T$5&lt;=$F62,T$5+6&gt;=$E62),"■",""))</x:f>
      </x:c>
      <x:c r="U62" s="42" t="str">
        <x:f>IF(OR($E62="",$F62=""),"",IF(AND(U$5&lt;=$F62,U$5+6&gt;=$E62),"■",""))</x:f>
      </x:c>
      <x:c r="V62" s="42" t="str">
        <x:f>IF(OR($E62="",$F62=""),"",IF(AND(V$5&lt;=$F62,V$5+6&gt;=$E62),"■",""))</x:f>
      </x:c>
      <x:c r="W62" s="42" t="str">
        <x:f>IF(OR($E62="",$F62=""),"",IF(AND(W$5&lt;=$F62,W$5+6&gt;=$E62),"■",""))</x:f>
      </x:c>
      <x:c r="X62" s="42" t="str">
        <x:f>IF(OR($E62="",$F62=""),"",IF(AND(X$5&lt;=$F62,X$5+6&gt;=$E62),"■",""))</x:f>
      </x:c>
      <x:c r="Y62" s="42" t="str">
        <x:f>IF(OR($E62="",$F62=""),"",IF(AND(Y$5&lt;=$F62,Y$5+6&gt;=$E62),"■",""))</x:f>
      </x:c>
      <x:c r="Z62" s="42" t="str">
        <x:f>IF(OR($E62="",$F62=""),"",IF(AND(Z$5&lt;=$F62,Z$5+6&gt;=$E62),"■",""))</x:f>
      </x:c>
      <x:c r="AA62" s="42" t="str">
        <x:f>IF(OR($E62="",$F62=""),"",IF(AND(AA$5&lt;=$F62,AA$5+6&gt;=$E62),"■",""))</x:f>
      </x:c>
      <x:c r="AB62" s="42" t="str">
        <x:f>IF(OR($E62="",$F62=""),"",IF(AND(AB$5&lt;=$F62,AB$5+6&gt;=$E62),"■",""))</x:f>
      </x:c>
      <x:c r="AC62" s="42" t="str">
        <x:f>IF(OR($E62="",$F62=""),"",IF(AND(AC$5&lt;=$F62,AC$5+6&gt;=$E62),"■",""))</x:f>
      </x:c>
      <x:c r="AD62" s="42" t="str">
        <x:f>IF(OR($E62="",$F62=""),"",IF(AND(AD$5&lt;=$F62,AD$5+6&gt;=$E62),"■",""))</x:f>
      </x:c>
      <x:c r="AE62" s="42" t="str">
        <x:f>IF(OR($E62="",$F62=""),"",IF(AND(AE$5&lt;=$F62,AE$5+6&gt;=$E62),"■",""))</x:f>
      </x:c>
      <x:c r="AF62" s="42" t="str">
        <x:f>IF(OR($E62="",$F62=""),"",IF(AND(AF$5&lt;=$F62,AF$5+6&gt;=$E62),"■",""))</x:f>
      </x:c>
      <x:c r="AG62" s="42" t="str">
        <x:f>IF(OR($E62="",$F62=""),"",IF(AND(AG$5&lt;=$F62,AG$5+6&gt;=$E62),"■",""))</x:f>
      </x:c>
      <x:c r="AH62" s="42" t="str">
        <x:f>IF(OR($E62="",$F62=""),"",IF(AND(AH$5&lt;=$F62,AH$5+6&gt;=$E62),"■",""))</x:f>
      </x:c>
      <x:c r="AI62" s="42" t="str">
        <x:f>IF(OR($E62="",$F62=""),"",IF(AND(AI$5&lt;=$F62,AI$5+6&gt;=$E62),"■",""))</x:f>
      </x:c>
      <x:c r="AJ62" s="42" t="str">
        <x:f>IF(OR($E62="",$F62=""),"",IF(AND(AJ$5&lt;=$F62,AJ$5+6&gt;=$E62),"■",""))</x:f>
      </x:c>
      <x:c r="AK62" s="42" t="str">
        <x:f>IF(OR($E62="",$F62=""),"",IF(AND(AK$5&lt;=$F62,AK$5+6&gt;=$E62),"■",""))</x:f>
      </x:c>
    </x:row>
    <x:row r="63" ht="28" customHeight="1">
      <x:c r="A63" s="26" t="str">
        <x:v>REL-R10-001</x:v>
      </x:c>
      <x:c r="B63" s="26" t="str">
        <x:v>Conditional Transition Acceptance</x:v>
      </x:c>
      <x:c r="C63" s="26" t="str">
        <x:v>Backlog</x:v>
      </x:c>
      <x:c r="D63" s="26" t="str">
        <x:v>R10</x:v>
      </x:c>
      <x:c r="E63" s="31"/>
      <x:c r="F63" s="31"/>
      <x:c r="G63" s="42" t="str">
        <x:f>IF(OR($E63="",$F63=""),"",IF(AND(G$5&lt;=$F63,G$5+6&gt;=$E63),"■",""))</x:f>
      </x:c>
      <x:c r="H63" s="42" t="str">
        <x:f>IF(OR($E63="",$F63=""),"",IF(AND(H$5&lt;=$F63,H$5+6&gt;=$E63),"■",""))</x:f>
      </x:c>
      <x:c r="I63" s="42" t="str">
        <x:f>IF(OR($E63="",$F63=""),"",IF(AND(I$5&lt;=$F63,I$5+6&gt;=$E63),"■",""))</x:f>
      </x:c>
      <x:c r="J63" s="42" t="str">
        <x:f>IF(OR($E63="",$F63=""),"",IF(AND(J$5&lt;=$F63,J$5+6&gt;=$E63),"■",""))</x:f>
      </x:c>
      <x:c r="K63" s="42" t="str">
        <x:f>IF(OR($E63="",$F63=""),"",IF(AND(K$5&lt;=$F63,K$5+6&gt;=$E63),"■",""))</x:f>
      </x:c>
      <x:c r="L63" s="42" t="str">
        <x:f>IF(OR($E63="",$F63=""),"",IF(AND(L$5&lt;=$F63,L$5+6&gt;=$E63),"■",""))</x:f>
      </x:c>
      <x:c r="M63" s="42" t="str">
        <x:f>IF(OR($E63="",$F63=""),"",IF(AND(M$5&lt;=$F63,M$5+6&gt;=$E63),"■",""))</x:f>
      </x:c>
      <x:c r="N63" s="42" t="str">
        <x:f>IF(OR($E63="",$F63=""),"",IF(AND(N$5&lt;=$F63,N$5+6&gt;=$E63),"■",""))</x:f>
      </x:c>
      <x:c r="O63" s="42" t="str">
        <x:f>IF(OR($E63="",$F63=""),"",IF(AND(O$5&lt;=$F63,O$5+6&gt;=$E63),"■",""))</x:f>
      </x:c>
      <x:c r="P63" s="42" t="str">
        <x:f>IF(OR($E63="",$F63=""),"",IF(AND(P$5&lt;=$F63,P$5+6&gt;=$E63),"■",""))</x:f>
      </x:c>
      <x:c r="Q63" s="42" t="str">
        <x:f>IF(OR($E63="",$F63=""),"",IF(AND(Q$5&lt;=$F63,Q$5+6&gt;=$E63),"■",""))</x:f>
      </x:c>
      <x:c r="R63" s="42" t="str">
        <x:f>IF(OR($E63="",$F63=""),"",IF(AND(R$5&lt;=$F63,R$5+6&gt;=$E63),"■",""))</x:f>
      </x:c>
      <x:c r="S63" s="42" t="str">
        <x:f>IF(OR($E63="",$F63=""),"",IF(AND(S$5&lt;=$F63,S$5+6&gt;=$E63),"■",""))</x:f>
      </x:c>
      <x:c r="T63" s="42" t="str">
        <x:f>IF(OR($E63="",$F63=""),"",IF(AND(T$5&lt;=$F63,T$5+6&gt;=$E63),"■",""))</x:f>
      </x:c>
      <x:c r="U63" s="42" t="str">
        <x:f>IF(OR($E63="",$F63=""),"",IF(AND(U$5&lt;=$F63,U$5+6&gt;=$E63),"■",""))</x:f>
      </x:c>
      <x:c r="V63" s="42" t="str">
        <x:f>IF(OR($E63="",$F63=""),"",IF(AND(V$5&lt;=$F63,V$5+6&gt;=$E63),"■",""))</x:f>
      </x:c>
      <x:c r="W63" s="42" t="str">
        <x:f>IF(OR($E63="",$F63=""),"",IF(AND(W$5&lt;=$F63,W$5+6&gt;=$E63),"■",""))</x:f>
      </x:c>
      <x:c r="X63" s="42" t="str">
        <x:f>IF(OR($E63="",$F63=""),"",IF(AND(X$5&lt;=$F63,X$5+6&gt;=$E63),"■",""))</x:f>
      </x:c>
      <x:c r="Y63" s="42" t="str">
        <x:f>IF(OR($E63="",$F63=""),"",IF(AND(Y$5&lt;=$F63,Y$5+6&gt;=$E63),"■",""))</x:f>
      </x:c>
      <x:c r="Z63" s="42" t="str">
        <x:f>IF(OR($E63="",$F63=""),"",IF(AND(Z$5&lt;=$F63,Z$5+6&gt;=$E63),"■",""))</x:f>
      </x:c>
      <x:c r="AA63" s="42" t="str">
        <x:f>IF(OR($E63="",$F63=""),"",IF(AND(AA$5&lt;=$F63,AA$5+6&gt;=$E63),"■",""))</x:f>
      </x:c>
      <x:c r="AB63" s="42" t="str">
        <x:f>IF(OR($E63="",$F63=""),"",IF(AND(AB$5&lt;=$F63,AB$5+6&gt;=$E63),"■",""))</x:f>
      </x:c>
      <x:c r="AC63" s="42" t="str">
        <x:f>IF(OR($E63="",$F63=""),"",IF(AND(AC$5&lt;=$F63,AC$5+6&gt;=$E63),"■",""))</x:f>
      </x:c>
      <x:c r="AD63" s="42" t="str">
        <x:f>IF(OR($E63="",$F63=""),"",IF(AND(AD$5&lt;=$F63,AD$5+6&gt;=$E63),"■",""))</x:f>
      </x:c>
      <x:c r="AE63" s="42" t="str">
        <x:f>IF(OR($E63="",$F63=""),"",IF(AND(AE$5&lt;=$F63,AE$5+6&gt;=$E63),"■",""))</x:f>
      </x:c>
      <x:c r="AF63" s="42" t="str">
        <x:f>IF(OR($E63="",$F63=""),"",IF(AND(AF$5&lt;=$F63,AF$5+6&gt;=$E63),"■",""))</x:f>
      </x:c>
      <x:c r="AG63" s="42" t="str">
        <x:f>IF(OR($E63="",$F63=""),"",IF(AND(AG$5&lt;=$F63,AG$5+6&gt;=$E63),"■",""))</x:f>
      </x:c>
      <x:c r="AH63" s="42" t="str">
        <x:f>IF(OR($E63="",$F63=""),"",IF(AND(AH$5&lt;=$F63,AH$5+6&gt;=$E63),"■",""))</x:f>
      </x:c>
      <x:c r="AI63" s="42" t="str">
        <x:f>IF(OR($E63="",$F63=""),"",IF(AND(AI$5&lt;=$F63,AI$5+6&gt;=$E63),"■",""))</x:f>
      </x:c>
      <x:c r="AJ63" s="42" t="str">
        <x:f>IF(OR($E63="",$F63=""),"",IF(AND(AJ$5&lt;=$F63,AJ$5+6&gt;=$E63),"■",""))</x:f>
      </x:c>
      <x:c r="AK63" s="42" t="str">
        <x:f>IF(OR($E63="",$F63=""),"",IF(AND(AK$5&lt;=$F63,AK$5+6&gt;=$E63),"■",""))</x:f>
      </x:c>
    </x:row>
  </x:sheetData>
  <x:mergeCells>
    <x:mergeCell ref="A1:AK2"/>
    <x:mergeCell ref="A3:AK3"/>
  </x:mergeCells>
  <x:conditionalFormatting sqref="G6:AK63">
    <x:cfRule type="expression" dxfId="8" priority="1">
      <x:formula>AND(G6="■",$C6="Backlog")</x:formula>
    </x:cfRule>
    <x:cfRule type="expression" dxfId="9" priority="2">
      <x:formula>AND(G6="■",$C6="Next")</x:formula>
    </x:cfRule>
    <x:cfRule type="expression" dxfId="10" priority="3">
      <x:formula>AND(G6="■",$C6="In progress")</x:formula>
    </x:cfRule>
    <x:cfRule type="expression" dxfId="11" priority="4">
      <x:formula>AND(G6="■",$C6="Done")</x:formula>
    </x:cfRule>
  </x:conditionalFormatting>
  <x:conditionalFormatting sqref="C6:C63">
    <x:cfRule type="containsText" dxfId="12" priority="5" operator="containsText" text="Backlog"/>
    <x:cfRule type="containsText" dxfId="13" priority="6" operator="containsText" text="Next"/>
    <x:cfRule type="containsText" dxfId="14" priority="7" operator="containsText" text="In progress"/>
    <x:cfRule type="containsText" dxfId="15" priority="8" operator="containsText" text="Done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28" hidden="0" customWidth="1"/>
    <x:col min="5" max="5" width="50" hidden="0" customWidth="1"/>
    <x:col min="6" max="6" width="12" hidden="0" customWidth="1"/>
  </x:cols>
  <x:sheetData>
    <x:row r="1" ht="28" customHeight="1">
      <x:c r="A1" s="5" t="str">
        <x:v>Requirement Traceability — 78 Stable IDs</x:v>
      </x:c>
      <x:c r="B1" s="5" t="str">
        <x:v>Requirement Traceability — 78 Stable IDs</x:v>
      </x:c>
      <x:c r="C1" s="5" t="str">
        <x:v>Requirement Traceability — 78 Stable IDs</x:v>
      </x:c>
      <x:c r="D1" s="5" t="str">
        <x:v>Requirement Traceability — 78 Stable IDs</x:v>
      </x:c>
      <x:c r="E1" s="5" t="str">
        <x:v>Requirement Traceability — 78 Stable IDs</x:v>
      </x:c>
      <x:c r="F1" s="5" t="str">
        <x:v>Requirement Traceability — 78 Stable IDs</x:v>
      </x:c>
    </x:row>
    <x:row r="2" ht="28" customHeight="1">
      <x:c r="A2" s="5" t="str">
        <x:v>Requirement Traceability — 78 Stable IDs</x:v>
      </x:c>
      <x:c r="B2" s="5" t="str">
        <x:v>Requirement Traceability — 78 Stable IDs</x:v>
      </x:c>
      <x:c r="C2" s="5" t="str">
        <x:v>Requirement Traceability — 78 Stable IDs</x:v>
      </x:c>
      <x:c r="D2" s="5" t="str">
        <x:v>Requirement Traceability — 78 Stable IDs</x:v>
      </x:c>
      <x:c r="E2" s="5" t="str">
        <x:v>Requirement Traceability — 78 Stable IDs</x:v>
      </x:c>
      <x:c r="F2" s="5" t="str">
        <x:v>Requirement Traceability — 78 Stable IDs</x:v>
      </x:c>
    </x:row>
    <x:row r="3" ht="34" customHeight="1">
      <x:c r="A3" s="14" t="str">
        <x:v>All 71 active requirements map to roadmap tasks. LID-UP-004 and LID-DEF-001 through LID-DEF-006 are explicitly deferred rather than silently omitted.</x:v>
      </x:c>
      <x:c r="B3" s="15" t="str">
        <x:v>All 71 active requirements map to roadmap tasks. LID-UP-004 and LID-DEF-001 through LID-DEF-006 are explicitly deferred rather than silently omitted.</x:v>
      </x:c>
      <x:c r="C3" s="15" t="str">
        <x:v>All 71 active requirements map to roadmap tasks. LID-UP-004 and LID-DEF-001 through LID-DEF-006 are explicitly deferred rather than silently omitted.</x:v>
      </x:c>
      <x:c r="D3" s="15" t="str">
        <x:v>All 71 active requirements map to roadmap tasks. LID-UP-004 and LID-DEF-001 through LID-DEF-006 are explicitly deferred rather than silently omitted.</x:v>
      </x:c>
      <x:c r="E3" s="15" t="str">
        <x:v>All 71 active requirements map to roadmap tasks. LID-UP-004 and LID-DEF-001 through LID-DEF-006 are explicitly deferred rather than silently omitted.</x:v>
      </x:c>
      <x:c r="F3" s="16" t="str">
        <x:v>All 71 active requirements map to roadmap tasks. LID-UP-004 and LID-DEF-001 through LID-DEF-006 are explicitly deferred rather than silently omitted.</x:v>
      </x:c>
    </x:row>
    <x:row r="5" ht="30" customHeight="1">
      <x:c r="A5" s="22" t="str">
        <x:v>Requirement ID</x:v>
      </x:c>
      <x:c r="B5" s="22" t="str">
        <x:v>Primary milestone</x:v>
      </x:c>
      <x:c r="C5" s="22" t="str">
        <x:v>Roadmap task IDs</x:v>
      </x:c>
      <x:c r="D5" s="22" t="str">
        <x:v>Disposition</x:v>
      </x:c>
      <x:c r="E5" s="22" t="str">
        <x:v>Rationale</x:v>
      </x:c>
      <x:c r="F5" s="22" t="str">
        <x:v>Task count</x:v>
      </x:c>
    </x:row>
    <x:row r="6" ht="40" customHeight="1">
      <x:c r="A6" s="26" t="str">
        <x:v>LID-SCP-001</x:v>
      </x:c>
      <x:c r="B6" s="26" t="str">
        <x:v>R0</x:v>
      </x:c>
      <x:c r="C6" s="26" t="str">
        <x:v>SPK-R0-001, PRD-R0-001, UX-R0-001, ARCH-R0-001, ENG-R0-001, REL-R0-001, QA-R8-001, REL-R8-001, PRD-R9-001, QA-R9-001, REL-R9-001</x:v>
      </x:c>
      <x:c r="D6" s="26" t="str">
        <x:v>Planned and regression-gated.</x:v>
      </x:c>
      <x:c r="E6" s="26" t="str">
        <x:v>Mapped to one or more release-planning, implementation, or acceptance tasks.</x:v>
      </x:c>
      <x:c r="F6" s="26" t="n">
        <x:f>LEN(C6)-LEN(SUBSTITUTE(C6,",",""))+1</x:f>
        <x:v>11</x:v>
      </x:c>
    </x:row>
    <x:row r="7" ht="40" customHeight="1">
      <x:c r="A7" s="26" t="str">
        <x:v>LID-SCP-002</x:v>
      </x:c>
      <x:c r="B7" s="26" t="str">
        <x:v>R1</x:v>
      </x:c>
      <x:c r="C7" s="26" t="str">
        <x:v>PRD-R1-001, UX-R1-001, ARCH-R1-001, ENG-R1-001, REL-R1-001, QA-R8-001, REL-R8-001, PRD-R9-001, QA-R9-001, REL-R9-001</x:v>
      </x:c>
      <x:c r="D7" s="26" t="str">
        <x:v>Planned and regression-gated.</x:v>
      </x:c>
      <x:c r="E7" s="26" t="str">
        <x:v>Mapped to one or more release-planning, implementation, or acceptance tasks.</x:v>
      </x:c>
      <x:c r="F7" s="26" t="n">
        <x:f>LEN(C7)-LEN(SUBSTITUTE(C7,",",""))+1</x:f>
        <x:v>10</x:v>
      </x:c>
    </x:row>
    <x:row r="8" ht="40" customHeight="1">
      <x:c r="A8" s="26" t="str">
        <x:v>LID-SCP-003</x:v>
      </x:c>
      <x:c r="B8" s="26" t="str">
        <x:v>R1</x:v>
      </x:c>
      <x:c r="C8" s="26" t="str">
        <x:v>PRD-R1-001, UX-R1-001, ARCH-R1-001, ENG-R1-001, REL-R1-001, QA-R8-001, REL-R8-001, PRD-R9-001, QA-R9-001, REL-R9-001</x:v>
      </x:c>
      <x:c r="D8" s="26" t="str">
        <x:v>Planned and regression-gated.</x:v>
      </x:c>
      <x:c r="E8" s="26" t="str">
        <x:v>Mapped to one or more release-planning, implementation, or acceptance tasks.</x:v>
      </x:c>
      <x:c r="F8" s="26" t="n">
        <x:f>LEN(C8)-LEN(SUBSTITUTE(C8,",",""))+1</x:f>
        <x:v>10</x:v>
      </x:c>
    </x:row>
    <x:row r="9" ht="40" customHeight="1">
      <x:c r="A9" s="26" t="str">
        <x:v>LID-SCP-004</x:v>
      </x:c>
      <x:c r="B9" s="26" t="str">
        <x:v>R4</x:v>
      </x:c>
      <x:c r="C9" s="26" t="str">
        <x:v>PRD-R4-001, UX-R4-001, ARCH-R4-001, ENG-R4-001, ENG-R4-002, REL-R4-001, QA-R8-001, REL-R8-001, PRD-R9-001, QA-R9-001, REL-R9-001</x:v>
      </x:c>
      <x:c r="D9" s="26" t="str">
        <x:v>Planned and regression-gated.</x:v>
      </x:c>
      <x:c r="E9" s="26" t="str">
        <x:v>Mapped to one or more release-planning, implementation, or acceptance tasks.</x:v>
      </x:c>
      <x:c r="F9" s="26" t="n">
        <x:f>LEN(C9)-LEN(SUBSTITUTE(C9,",",""))+1</x:f>
        <x:v>11</x:v>
      </x:c>
    </x:row>
    <x:row r="10" ht="40" customHeight="1">
      <x:c r="A10" s="26" t="str">
        <x:v>LID-TG-001</x:v>
      </x:c>
      <x:c r="B10" s="26" t="str">
        <x:v>R2</x:v>
      </x:c>
      <x:c r="C10" s="26" t="str">
        <x:v>PRD-R2-001, ARCH-R2-001, ENG-R2-001, REL-R2-001, QA-R8-001, REL-R8-001, PRD-R9-001, QA-R9-001, REL-R9-001</x:v>
      </x:c>
      <x:c r="D10" s="26" t="str">
        <x:v>Planned and regression-gated.</x:v>
      </x:c>
      <x:c r="E10" s="26" t="str">
        <x:v>Mapped to one or more release-planning, implementation, or acceptance tasks.</x:v>
      </x:c>
      <x:c r="F10" s="26" t="n">
        <x:f>LEN(C10)-LEN(SUBSTITUTE(C10,",",""))+1</x:f>
        <x:v>9</x:v>
      </x:c>
    </x:row>
    <x:row r="11" ht="40" customHeight="1">
      <x:c r="A11" s="26" t="str">
        <x:v>LID-TG-002</x:v>
      </x:c>
      <x:c r="B11" s="26" t="str">
        <x:v>R2</x:v>
      </x:c>
      <x:c r="C11" s="26" t="str">
        <x:v>PRD-R2-001, UX-R2-001, ARCH-R2-001, ENG-R2-001, REL-R2-001, QA-R8-001, REL-R8-001, PRD-R9-001, QA-R9-001, REL-R9-001</x:v>
      </x:c>
      <x:c r="D11" s="26" t="str">
        <x:v>Planned and regression-gated.</x:v>
      </x:c>
      <x:c r="E11" s="26" t="str">
        <x:v>Mapped to one or more release-planning, implementation, or acceptance tasks.</x:v>
      </x:c>
      <x:c r="F11" s="26" t="n">
        <x:f>LEN(C11)-LEN(SUBSTITUTE(C11,",",""))+1</x:f>
        <x:v>10</x:v>
      </x:c>
    </x:row>
    <x:row r="12" ht="40" customHeight="1">
      <x:c r="A12" s="26" t="str">
        <x:v>LID-TG-003</x:v>
      </x:c>
      <x:c r="B12" s="26" t="str">
        <x:v>R2</x:v>
      </x:c>
      <x:c r="C12" s="26" t="str">
        <x:v>PRD-R2-001, UX-R2-001, ARCH-R2-001, ENG-R2-001, REL-R2-001, QA-R8-001, REL-R8-001, PRD-R9-001, QA-R9-001, REL-R9-001</x:v>
      </x:c>
      <x:c r="D12" s="26" t="str">
        <x:v>Planned and regression-gated.</x:v>
      </x:c>
      <x:c r="E12" s="26" t="str">
        <x:v>Mapped to one or more release-planning, implementation, or acceptance tasks.</x:v>
      </x:c>
      <x:c r="F12" s="26" t="n">
        <x:f>LEN(C12)-LEN(SUBSTITUTE(C12,",",""))+1</x:f>
        <x:v>10</x:v>
      </x:c>
    </x:row>
    <x:row r="13" ht="40" customHeight="1">
      <x:c r="A13" s="26" t="str">
        <x:v>LID-TG-004</x:v>
      </x:c>
      <x:c r="B13" s="26" t="str">
        <x:v>R2</x:v>
      </x:c>
      <x:c r="C13" s="26" t="str">
        <x:v>PRD-R2-001, UX-R2-001, ARCH-R2-001, ENG-R2-001, REL-R2-001, QA-R8-001, REL-R8-001, PRD-R9-001, QA-R9-001, REL-R9-001</x:v>
      </x:c>
      <x:c r="D13" s="26" t="str">
        <x:v>Planned and regression-gated.</x:v>
      </x:c>
      <x:c r="E13" s="26" t="str">
        <x:v>Mapped to one or more release-planning, implementation, or acceptance tasks.</x:v>
      </x:c>
      <x:c r="F13" s="26" t="n">
        <x:f>LEN(C13)-LEN(SUBSTITUTE(C13,",",""))+1</x:f>
        <x:v>10</x:v>
      </x:c>
    </x:row>
    <x:row r="14" ht="40" customHeight="1">
      <x:c r="A14" s="26" t="str">
        <x:v>LID-TG-005</x:v>
      </x:c>
      <x:c r="B14" s="26" t="str">
        <x:v>R2</x:v>
      </x:c>
      <x:c r="C14" s="26" t="str">
        <x:v>PRD-R2-001, UX-R2-001, ARCH-R2-001, ENG-R2-001, REL-R2-001, QA-R8-001, REL-R8-001, PRD-R9-001, QA-R9-001, REL-R9-001</x:v>
      </x:c>
      <x:c r="D14" s="26" t="str">
        <x:v>Planned and regression-gated.</x:v>
      </x:c>
      <x:c r="E14" s="26" t="str">
        <x:v>Mapped to one or more release-planning, implementation, or acceptance tasks.</x:v>
      </x:c>
      <x:c r="F14" s="26" t="n">
        <x:f>LEN(C14)-LEN(SUBSTITUTE(C14,",",""))+1</x:f>
        <x:v>10</x:v>
      </x:c>
    </x:row>
    <x:row r="15" ht="40" customHeight="1">
      <x:c r="A15" s="26" t="str">
        <x:v>LID-TG-006</x:v>
      </x:c>
      <x:c r="B15" s="26" t="str">
        <x:v>R2</x:v>
      </x:c>
      <x:c r="C15" s="26" t="str">
        <x:v>PRD-R2-001, UX-R2-001, ARCH-R2-001, ENG-R2-001, REL-R2-001, QA-R8-001, REL-R8-001, PRD-R9-001, QA-R9-001, REL-R9-001</x:v>
      </x:c>
      <x:c r="D15" s="26" t="str">
        <x:v>Planned and regression-gated.</x:v>
      </x:c>
      <x:c r="E15" s="26" t="str">
        <x:v>Mapped to one or more release-planning, implementation, or acceptance tasks.</x:v>
      </x:c>
      <x:c r="F15" s="26" t="n">
        <x:f>LEN(C15)-LEN(SUBSTITUTE(C15,",",""))+1</x:f>
        <x:v>10</x:v>
      </x:c>
    </x:row>
    <x:row r="16" ht="40" customHeight="1">
      <x:c r="A16" s="26" t="str">
        <x:v>LID-TG-007</x:v>
      </x:c>
      <x:c r="B16" s="26" t="str">
        <x:v>R2</x:v>
      </x:c>
      <x:c r="C16" s="26" t="str">
        <x:v>PRD-R2-001, UX-R2-001, ARCH-R2-001, ENG-R2-002, REL-R2-001, QA-R8-001, REL-R8-001, PRD-R9-001, QA-R9-001, REL-R9-001</x:v>
      </x:c>
      <x:c r="D16" s="26" t="str">
        <x:v>Planned and regression-gated.</x:v>
      </x:c>
      <x:c r="E16" s="26" t="str">
        <x:v>Mapped to one or more release-planning, implementation, or acceptance tasks.</x:v>
      </x:c>
      <x:c r="F16" s="26" t="n">
        <x:f>LEN(C16)-LEN(SUBSTITUTE(C16,",",""))+1</x:f>
        <x:v>10</x:v>
      </x:c>
    </x:row>
    <x:row r="17" ht="40" customHeight="1">
      <x:c r="A17" s="26" t="str">
        <x:v>LID-TG-008</x:v>
      </x:c>
      <x:c r="B17" s="26" t="str">
        <x:v>R2</x:v>
      </x:c>
      <x:c r="C17" s="26" t="str">
        <x:v>PRD-R2-001, UX-R2-001, ARCH-R2-001, ENG-R2-002, REL-R2-001, QA-R8-001, REL-R8-001, PRD-R9-001, QA-R9-001, REL-R9-001</x:v>
      </x:c>
      <x:c r="D17" s="26" t="str">
        <x:v>Planned and regression-gated.</x:v>
      </x:c>
      <x:c r="E17" s="26" t="str">
        <x:v>Mapped to one or more release-planning, implementation, or acceptance tasks.</x:v>
      </x:c>
      <x:c r="F17" s="26" t="n">
        <x:f>LEN(C17)-LEN(SUBSTITUTE(C17,",",""))+1</x:f>
        <x:v>10</x:v>
      </x:c>
    </x:row>
    <x:row r="18" ht="40" customHeight="1">
      <x:c r="A18" s="26" t="str">
        <x:v>LID-TG-009</x:v>
      </x:c>
      <x:c r="B18" s="26" t="str">
        <x:v>R2</x:v>
      </x:c>
      <x:c r="C18" s="26" t="str">
        <x:v>PRD-R2-001, UX-R2-001, ARCH-R2-001, ENG-R2-002, REL-R2-001, QA-R8-001, REL-R8-001, PRD-R9-001, QA-R9-001, REL-R9-001</x:v>
      </x:c>
      <x:c r="D18" s="26" t="str">
        <x:v>Planned and regression-gated.</x:v>
      </x:c>
      <x:c r="E18" s="26" t="str">
        <x:v>Mapped to one or more release-planning, implementation, or acceptance tasks.</x:v>
      </x:c>
      <x:c r="F18" s="26" t="n">
        <x:f>LEN(C18)-LEN(SUBSTITUTE(C18,",",""))+1</x:f>
        <x:v>10</x:v>
      </x:c>
    </x:row>
    <x:row r="19" ht="40" customHeight="1">
      <x:c r="A19" s="26" t="str">
        <x:v>LID-TG-010</x:v>
      </x:c>
      <x:c r="B19" s="26" t="str">
        <x:v>R2</x:v>
      </x:c>
      <x:c r="C19" s="26" t="str">
        <x:v>PRD-R2-001, ARCH-R2-001, ENG-R2-002, REL-R2-001, QA-R8-001, REL-R8-001, PRD-R9-001, QA-R9-001, REL-R9-001</x:v>
      </x:c>
      <x:c r="D19" s="26" t="str">
        <x:v>Planned and regression-gated.</x:v>
      </x:c>
      <x:c r="E19" s="26" t="str">
        <x:v>Mapped to one or more release-planning, implementation, or acceptance tasks.</x:v>
      </x:c>
      <x:c r="F19" s="26" t="n">
        <x:f>LEN(C19)-LEN(SUBSTITUTE(C19,",",""))+1</x:f>
        <x:v>9</x:v>
      </x:c>
    </x:row>
    <x:row r="20" ht="40" customHeight="1">
      <x:c r="A20" s="26" t="str">
        <x:v>LID-VN-001</x:v>
      </x:c>
      <x:c r="B20" s="26" t="str">
        <x:v>R5</x:v>
      </x:c>
      <x:c r="C20" s="26" t="str">
        <x:v>SPK-R5-001, PRD-R5-001, ARCH-R5-001, ENG-R5-001, REL-R5-001, QA-R8-001, REL-R8-001, PRD-R9-001, QA-R9-001, REL-R9-001</x:v>
      </x:c>
      <x:c r="D20" s="26" t="str">
        <x:v>Planned and regression-gated.</x:v>
      </x:c>
      <x:c r="E20" s="26" t="str">
        <x:v>Mapped to one or more release-planning, implementation, or acceptance tasks.</x:v>
      </x:c>
      <x:c r="F20" s="26" t="n">
        <x:f>LEN(C20)-LEN(SUBSTITUTE(C20,",",""))+1</x:f>
        <x:v>10</x:v>
      </x:c>
    </x:row>
    <x:row r="21" ht="40" customHeight="1">
      <x:c r="A21" s="26" t="str">
        <x:v>LID-VN-002</x:v>
      </x:c>
      <x:c r="B21" s="26" t="str">
        <x:v>R5</x:v>
      </x:c>
      <x:c r="C21" s="26" t="str">
        <x:v>SPK-R5-001, PRD-R5-001, UX-R5-001, ARCH-R5-001, ENG-R5-001, REL-R5-001, QA-R8-001, REL-R8-001, PRD-R9-001, QA-R9-001, REL-R9-001</x:v>
      </x:c>
      <x:c r="D21" s="26" t="str">
        <x:v>Planned and regression-gated.</x:v>
      </x:c>
      <x:c r="E21" s="26" t="str">
        <x:v>Mapped to one or more release-planning, implementation, or acceptance tasks.</x:v>
      </x:c>
      <x:c r="F21" s="26" t="n">
        <x:f>LEN(C21)-LEN(SUBSTITUTE(C21,",",""))+1</x:f>
        <x:v>11</x:v>
      </x:c>
    </x:row>
    <x:row r="22" ht="40" customHeight="1">
      <x:c r="A22" s="26" t="str">
        <x:v>LID-VN-003</x:v>
      </x:c>
      <x:c r="B22" s="26" t="str">
        <x:v>R5</x:v>
      </x:c>
      <x:c r="C22" s="26" t="str">
        <x:v>SPK-R5-001, PRD-R5-001, UX-R5-001, ARCH-R5-001, ENG-R5-001, REL-R5-001, QA-R8-001, REL-R8-001, PRD-R9-001, QA-R9-001, REL-R9-001</x:v>
      </x:c>
      <x:c r="D22" s="26" t="str">
        <x:v>Planned and regression-gated.</x:v>
      </x:c>
      <x:c r="E22" s="26" t="str">
        <x:v>Mapped to one or more release-planning, implementation, or acceptance tasks.</x:v>
      </x:c>
      <x:c r="F22" s="26" t="n">
        <x:f>LEN(C22)-LEN(SUBSTITUTE(C22,",",""))+1</x:f>
        <x:v>11</x:v>
      </x:c>
    </x:row>
    <x:row r="23" ht="40" customHeight="1">
      <x:c r="A23" s="26" t="str">
        <x:v>LID-VN-004</x:v>
      </x:c>
      <x:c r="B23" s="26" t="str">
        <x:v>R5</x:v>
      </x:c>
      <x:c r="C23" s="26" t="str">
        <x:v>SPK-R5-001, PRD-R5-001, UX-R5-001, ARCH-R5-001, ENG-R5-001, REL-R5-001, QA-R8-001, REL-R8-001, PRD-R9-001, QA-R9-001, REL-R9-001</x:v>
      </x:c>
      <x:c r="D23" s="26" t="str">
        <x:v>Planned and regression-gated.</x:v>
      </x:c>
      <x:c r="E23" s="26" t="str">
        <x:v>Mapped to one or more release-planning, implementation, or acceptance tasks.</x:v>
      </x:c>
      <x:c r="F23" s="26" t="n">
        <x:f>LEN(C23)-LEN(SUBSTITUTE(C23,",",""))+1</x:f>
        <x:v>11</x:v>
      </x:c>
    </x:row>
    <x:row r="24" ht="40" customHeight="1">
      <x:c r="A24" s="26" t="str">
        <x:v>LID-VN-005</x:v>
      </x:c>
      <x:c r="B24" s="26" t="str">
        <x:v>R5</x:v>
      </x:c>
      <x:c r="C24" s="26" t="str">
        <x:v>SPK-R5-001, PRD-R5-001, UX-R5-001, ARCH-R5-001, ENG-R5-001, REL-R5-001, QA-R8-001, REL-R8-001, PRD-R9-001, QA-R9-001, REL-R9-001</x:v>
      </x:c>
      <x:c r="D24" s="26" t="str">
        <x:v>Planned and regression-gated.</x:v>
      </x:c>
      <x:c r="E24" s="26" t="str">
        <x:v>Mapped to one or more release-planning, implementation, or acceptance tasks.</x:v>
      </x:c>
      <x:c r="F24" s="26" t="n">
        <x:f>LEN(C24)-LEN(SUBSTITUTE(C24,",",""))+1</x:f>
        <x:v>11</x:v>
      </x:c>
    </x:row>
    <x:row r="25" ht="40" customHeight="1">
      <x:c r="A25" s="26" t="str">
        <x:v>LID-VN-006</x:v>
      </x:c>
      <x:c r="B25" s="26" t="str">
        <x:v>R5</x:v>
      </x:c>
      <x:c r="C25" s="26" t="str">
        <x:v>PRD-R5-001, UX-R5-001, ARCH-R5-001, ENG-R5-001, REL-R5-001, QA-R8-001, REL-R8-001, PRD-R9-001, QA-R9-001, REL-R9-001</x:v>
      </x:c>
      <x:c r="D25" s="26" t="str">
        <x:v>Planned and regression-gated.</x:v>
      </x:c>
      <x:c r="E25" s="26" t="str">
        <x:v>Mapped to one or more release-planning, implementation, or acceptance tasks.</x:v>
      </x:c>
      <x:c r="F25" s="26" t="n">
        <x:f>LEN(C25)-LEN(SUBSTITUTE(C25,",",""))+1</x:f>
        <x:v>10</x:v>
      </x:c>
    </x:row>
    <x:row r="26" ht="40" customHeight="1">
      <x:c r="A26" s="26" t="str">
        <x:v>LID-VN-007</x:v>
      </x:c>
      <x:c r="B26" s="26" t="str">
        <x:v>R5</x:v>
      </x:c>
      <x:c r="C26" s="26" t="str">
        <x:v>PRD-R5-001, UX-R5-001, ARCH-R5-001, ENG-R5-001, REL-R5-001, QA-R8-001, REL-R8-001, PRD-R9-001, QA-R9-001, REL-R9-001</x:v>
      </x:c>
      <x:c r="D26" s="26" t="str">
        <x:v>Planned and regression-gated.</x:v>
      </x:c>
      <x:c r="E26" s="26" t="str">
        <x:v>Mapped to one or more release-planning, implementation, or acceptance tasks.</x:v>
      </x:c>
      <x:c r="F26" s="26" t="n">
        <x:f>LEN(C26)-LEN(SUBSTITUTE(C26,",",""))+1</x:f>
        <x:v>10</x:v>
      </x:c>
    </x:row>
    <x:row r="27" ht="40" customHeight="1">
      <x:c r="A27" s="26" t="str">
        <x:v>LID-UP-001</x:v>
      </x:c>
      <x:c r="B27" s="26" t="str">
        <x:v>R1</x:v>
      </x:c>
      <x:c r="C27" s="26" t="str">
        <x:v>PRD-R1-001, UX-R1-001, ARCH-R1-001, ENG-R1-001, REL-R1-001, QA-R8-001, REL-R8-001, PRD-R9-001, QA-R9-001, REL-R9-001</x:v>
      </x:c>
      <x:c r="D27" s="26" t="str">
        <x:v>Planned and regression-gated.</x:v>
      </x:c>
      <x:c r="E27" s="26" t="str">
        <x:v>Mapped to one or more release-planning, implementation, or acceptance tasks.</x:v>
      </x:c>
      <x:c r="F27" s="26" t="n">
        <x:f>LEN(C27)-LEN(SUBSTITUTE(C27,",",""))+1</x:f>
        <x:v>10</x:v>
      </x:c>
    </x:row>
    <x:row r="28" ht="40" customHeight="1">
      <x:c r="A28" s="26" t="str">
        <x:v>LID-UP-002</x:v>
      </x:c>
      <x:c r="B28" s="26" t="str">
        <x:v>R1</x:v>
      </x:c>
      <x:c r="C28" s="26" t="str">
        <x:v>PRD-R1-001, ARCH-R1-001, ENG-R1-001, REL-R1-001, QA-R8-001, REL-R8-001, PRD-R9-001, QA-R9-001, REL-R9-001</x:v>
      </x:c>
      <x:c r="D28" s="26" t="str">
        <x:v>Planned and regression-gated.</x:v>
      </x:c>
      <x:c r="E28" s="26" t="str">
        <x:v>Mapped to one or more release-planning, implementation, or acceptance tasks.</x:v>
      </x:c>
      <x:c r="F28" s="26" t="n">
        <x:f>LEN(C28)-LEN(SUBSTITUTE(C28,",",""))+1</x:f>
        <x:v>9</x:v>
      </x:c>
    </x:row>
    <x:row r="29" ht="40" customHeight="1">
      <x:c r="A29" s="26" t="str">
        <x:v>LID-UP-003</x:v>
      </x:c>
      <x:c r="B29" s="26" t="str">
        <x:v>R1</x:v>
      </x:c>
      <x:c r="C29" s="26" t="str">
        <x:v>PRD-R1-001, UX-R1-001, ARCH-R1-001, ENG-R1-001, REL-R1-001, QA-R8-001, REL-R8-001, PRD-R9-001, QA-R9-001, REL-R9-001</x:v>
      </x:c>
      <x:c r="D29" s="26" t="str">
        <x:v>Planned and regression-gated.</x:v>
      </x:c>
      <x:c r="E29" s="26" t="str">
        <x:v>Mapped to one or more release-planning, implementation, or acceptance tasks.</x:v>
      </x:c>
      <x:c r="F29" s="26" t="n">
        <x:f>LEN(C29)-LEN(SUBSTITUTE(C29,",",""))+1</x:f>
        <x:v>10</x:v>
      </x:c>
    </x:row>
    <x:row r="30" ht="40" customHeight="1">
      <x:c r="A30" s="26" t="str">
        <x:v>LID-UP-004</x:v>
      </x:c>
      <x:c r="B30" s="26" t="str">
        <x:v>Deferred</x:v>
      </x:c>
      <x:c r="C30" s="26" t="str">
        <x:v>None — explicitly deferred</x:v>
      </x:c>
      <x:c r="D30" s="26" t="str">
        <x:v>Explicitly deferred; no R0–R10 implementation task.</x:v>
      </x:c>
      <x:c r="E30" s="26" t="str">
        <x:v>Blank composition and unsupported document/OCR ingestion remain outside R0–R10.</x:v>
      </x:c>
      <x:c r="F30" s="26" t="n">
        <x:f>0</x:f>
        <x:v>0</x:v>
      </x:c>
    </x:row>
    <x:row r="31" ht="40" customHeight="1">
      <x:c r="A31" s="26" t="str">
        <x:v>LID-SRC-001</x:v>
      </x:c>
      <x:c r="B31" s="26" t="str">
        <x:v>R4</x:v>
      </x:c>
      <x:c r="C31" s="26" t="str">
        <x:v>PRD-R4-001, UX-R4-001, ARCH-R4-001, ENG-R4-001, REL-R4-001, QA-R8-001, REL-R8-001, PRD-R9-001, QA-R9-001, REL-R9-001</x:v>
      </x:c>
      <x:c r="D31" s="26" t="str">
        <x:v>Planned and regression-gated.</x:v>
      </x:c>
      <x:c r="E31" s="26" t="str">
        <x:v>Mapped to one or more release-planning, implementation, or acceptance tasks.</x:v>
      </x:c>
      <x:c r="F31" s="26" t="n">
        <x:f>LEN(C31)-LEN(SUBSTITUTE(C31,",",""))+1</x:f>
        <x:v>10</x:v>
      </x:c>
    </x:row>
    <x:row r="32" ht="40" customHeight="1">
      <x:c r="A32" s="26" t="str">
        <x:v>LID-SRC-002</x:v>
      </x:c>
      <x:c r="B32" s="26" t="str">
        <x:v>R4</x:v>
      </x:c>
      <x:c r="C32" s="26" t="str">
        <x:v>PRD-R4-001, UX-R4-001, ARCH-R4-001, ENG-R4-001, REL-R4-001, QA-R8-001, REL-R8-001, PRD-R9-001, QA-R9-001, REL-R9-001</x:v>
      </x:c>
      <x:c r="D32" s="26" t="str">
        <x:v>Planned and regression-gated.</x:v>
      </x:c>
      <x:c r="E32" s="26" t="str">
        <x:v>Mapped to one or more release-planning, implementation, or acceptance tasks.</x:v>
      </x:c>
      <x:c r="F32" s="26" t="n">
        <x:f>LEN(C32)-LEN(SUBSTITUTE(C32,",",""))+1</x:f>
        <x:v>10</x:v>
      </x:c>
    </x:row>
    <x:row r="33" ht="40" customHeight="1">
      <x:c r="A33" s="26" t="str">
        <x:v>LID-SRC-003</x:v>
      </x:c>
      <x:c r="B33" s="26" t="str">
        <x:v>R3</x:v>
      </x:c>
      <x:c r="C33" s="26" t="str">
        <x:v>PRD-R3-001, UX-R3-001, ARCH-R3-001, ENG-R3-001, REL-R3-001, QA-R8-001, REL-R8-001, PRD-R9-001, QA-R9-001, REL-R9-001</x:v>
      </x:c>
      <x:c r="D33" s="26" t="str">
        <x:v>Planned and regression-gated.</x:v>
      </x:c>
      <x:c r="E33" s="26" t="str">
        <x:v>Mapped to one or more release-planning, implementation, or acceptance tasks.</x:v>
      </x:c>
      <x:c r="F33" s="26" t="n">
        <x:f>LEN(C33)-LEN(SUBSTITUTE(C33,",",""))+1</x:f>
        <x:v>10</x:v>
      </x:c>
    </x:row>
    <x:row r="34" ht="40" customHeight="1">
      <x:c r="A34" s="26" t="str">
        <x:v>LID-SRC-004</x:v>
      </x:c>
      <x:c r="B34" s="26" t="str">
        <x:v>R4</x:v>
      </x:c>
      <x:c r="C34" s="26" t="str">
        <x:v>PRD-R4-001, UX-R4-001, ARCH-R4-001, ENG-R4-001, REL-R4-001, QA-R8-001, REL-R8-001, PRD-R9-001, QA-R9-001, REL-R9-001</x:v>
      </x:c>
      <x:c r="D34" s="26" t="str">
        <x:v>Planned and regression-gated.</x:v>
      </x:c>
      <x:c r="E34" s="26" t="str">
        <x:v>Mapped to one or more release-planning, implementation, or acceptance tasks.</x:v>
      </x:c>
      <x:c r="F34" s="26" t="n">
        <x:f>LEN(C34)-LEN(SUBSTITUTE(C34,",",""))+1</x:f>
        <x:v>10</x:v>
      </x:c>
    </x:row>
    <x:row r="35" ht="40" customHeight="1">
      <x:c r="A35" s="26" t="str">
        <x:v>LID-REF-001</x:v>
      </x:c>
      <x:c r="B35" s="26" t="str">
        <x:v>R1</x:v>
      </x:c>
      <x:c r="C35" s="26" t="str">
        <x:v>PRD-R1-001, UX-R1-001, ENG-R1-001, REL-R1-001, QA-R8-001, REL-R8-001, PRD-R9-001, QA-R9-001, REL-R9-001</x:v>
      </x:c>
      <x:c r="D35" s="26" t="str">
        <x:v>Planned and regression-gated.</x:v>
      </x:c>
      <x:c r="E35" s="26" t="str">
        <x:v>Mapped to one or more release-planning, implementation, or acceptance tasks.</x:v>
      </x:c>
      <x:c r="F35" s="26" t="n">
        <x:f>LEN(C35)-LEN(SUBSTITUTE(C35,",",""))+1</x:f>
        <x:v>9</x:v>
      </x:c>
    </x:row>
    <x:row r="36" ht="40" customHeight="1">
      <x:c r="A36" s="26" t="str">
        <x:v>LID-REF-002</x:v>
      </x:c>
      <x:c r="B36" s="26" t="str">
        <x:v>R3</x:v>
      </x:c>
      <x:c r="C36" s="26" t="str">
        <x:v>PRD-R3-001, UX-R3-001, ARCH-R3-001, ENG-R3-001, REL-R3-001, QA-R8-001, REL-R8-001, PRD-R9-001, QA-R9-001, REL-R9-001</x:v>
      </x:c>
      <x:c r="D36" s="26" t="str">
        <x:v>Planned and regression-gated.</x:v>
      </x:c>
      <x:c r="E36" s="26" t="str">
        <x:v>Mapped to one or more release-planning, implementation, or acceptance tasks.</x:v>
      </x:c>
      <x:c r="F36" s="26" t="n">
        <x:f>LEN(C36)-LEN(SUBSTITUTE(C36,",",""))+1</x:f>
        <x:v>10</x:v>
      </x:c>
    </x:row>
    <x:row r="37" ht="40" customHeight="1">
      <x:c r="A37" s="26" t="str">
        <x:v>LID-REF-003</x:v>
      </x:c>
      <x:c r="B37" s="26" t="str">
        <x:v>R3</x:v>
      </x:c>
      <x:c r="C37" s="26" t="str">
        <x:v>PRD-R3-001, UX-R3-001, ARCH-R3-001, ENG-R3-001, REL-R3-001, QA-R8-001, REL-R8-001, PRD-R9-001, QA-R9-001, REL-R9-001</x:v>
      </x:c>
      <x:c r="D37" s="26" t="str">
        <x:v>Planned and regression-gated.</x:v>
      </x:c>
      <x:c r="E37" s="26" t="str">
        <x:v>Mapped to one or more release-planning, implementation, or acceptance tasks.</x:v>
      </x:c>
      <x:c r="F37" s="26" t="n">
        <x:f>LEN(C37)-LEN(SUBSTITUTE(C37,",",""))+1</x:f>
        <x:v>10</x:v>
      </x:c>
    </x:row>
    <x:row r="38" ht="40" customHeight="1">
      <x:c r="A38" s="26" t="str">
        <x:v>LID-REF-004</x:v>
      </x:c>
      <x:c r="B38" s="26" t="str">
        <x:v>R1</x:v>
      </x:c>
      <x:c r="C38" s="26" t="str">
        <x:v>PRD-R1-001, UX-R1-001, ENG-R1-001, REL-R1-001, QA-R8-001, REL-R8-001, PRD-R9-001, QA-R9-001, REL-R9-001</x:v>
      </x:c>
      <x:c r="D38" s="26" t="str">
        <x:v>Planned and regression-gated.</x:v>
      </x:c>
      <x:c r="E38" s="26" t="str">
        <x:v>Mapped to one or more release-planning, implementation, or acceptance tasks.</x:v>
      </x:c>
      <x:c r="F38" s="26" t="n">
        <x:f>LEN(C38)-LEN(SUBSTITUTE(C38,",",""))+1</x:f>
        <x:v>9</x:v>
      </x:c>
    </x:row>
    <x:row r="39" ht="40" customHeight="1">
      <x:c r="A39" s="26" t="str">
        <x:v>LID-REF-005</x:v>
      </x:c>
      <x:c r="B39" s="26" t="str">
        <x:v>R1</x:v>
      </x:c>
      <x:c r="C39" s="26" t="str">
        <x:v>PRD-R1-001, UX-R1-001, ENG-R1-001, REL-R1-001, QA-R8-001, REL-R8-001, PRD-R9-001, QA-R9-001, REL-R9-001</x:v>
      </x:c>
      <x:c r="D39" s="26" t="str">
        <x:v>Planned and regression-gated.</x:v>
      </x:c>
      <x:c r="E39" s="26" t="str">
        <x:v>Mapped to one or more release-planning, implementation, or acceptance tasks.</x:v>
      </x:c>
      <x:c r="F39" s="26" t="n">
        <x:f>LEN(C39)-LEN(SUBSTITUTE(C39,",",""))+1</x:f>
        <x:v>9</x:v>
      </x:c>
    </x:row>
    <x:row r="40" ht="40" customHeight="1">
      <x:c r="A40" s="26" t="str">
        <x:v>LID-REF-006</x:v>
      </x:c>
      <x:c r="B40" s="26" t="str">
        <x:v>R1</x:v>
      </x:c>
      <x:c r="C40" s="26" t="str">
        <x:v>PRD-R1-001, UX-R1-001, ENG-R1-001, REL-R1-001, PRD-R3-001, UX-R3-001, ARCH-R3-001, ENG-R3-001, REL-R3-001, PRD-R6-001, UX-R6-001, ARCH-R6-001, ENG-R6-001, REL-R6-001, PRD-R7-001, UX-R7-001, ARCH-R7-001, ENG-R7-001, REL-R7-001, PRD-R8-001, ARCH-R8-001, QA-R8-001, REL-R8-001, PRD-R9-001, QA-R9-001, REL-R9-001</x:v>
      </x:c>
      <x:c r="D40" s="26" t="str">
        <x:v>Planned and regression-gated.</x:v>
      </x:c>
      <x:c r="E40" s="26" t="str">
        <x:v>Mapped to one or more release-planning, implementation, or acceptance tasks.</x:v>
      </x:c>
      <x:c r="F40" s="26" t="n">
        <x:f>LEN(C40)-LEN(SUBSTITUTE(C40,",",""))+1</x:f>
        <x:v>26</x:v>
      </x:c>
    </x:row>
    <x:row r="41" ht="40" customHeight="1">
      <x:c r="A41" s="26" t="str">
        <x:v>LID-REF-007</x:v>
      </x:c>
      <x:c r="B41" s="26" t="str">
        <x:v>R4</x:v>
      </x:c>
      <x:c r="C41" s="26" t="str">
        <x:v>PRD-R4-001, UX-R4-001, ARCH-R4-001, ENG-R4-001, ENG-R4-002, REL-R4-001, QA-R8-001, REL-R8-001, PRD-R9-001, QA-R9-001, REL-R9-001</x:v>
      </x:c>
      <x:c r="D41" s="26" t="str">
        <x:v>Planned and regression-gated.</x:v>
      </x:c>
      <x:c r="E41" s="26" t="str">
        <x:v>Mapped to one or more release-planning, implementation, or acceptance tasks.</x:v>
      </x:c>
      <x:c r="F41" s="26" t="n">
        <x:f>LEN(C41)-LEN(SUBSTITUTE(C41,",",""))+1</x:f>
        <x:v>11</x:v>
      </x:c>
    </x:row>
    <x:row r="42" ht="40" customHeight="1">
      <x:c r="A42" s="26" t="str">
        <x:v>LID-AIT-001</x:v>
      </x:c>
      <x:c r="B42" s="26" t="str">
        <x:v>R6</x:v>
      </x:c>
      <x:c r="C42" s="26" t="str">
        <x:v>EVAL-R6-001, PRD-R6-001, ARCH-R6-001, ENG-R6-001, REL-R6-001, QA-R8-001, REL-R8-001, PRD-R9-001, QA-R9-001, REL-R9-001</x:v>
      </x:c>
      <x:c r="D42" s="26" t="str">
        <x:v>Planned and regression-gated.</x:v>
      </x:c>
      <x:c r="E42" s="26" t="str">
        <x:v>Mapped to one or more release-planning, implementation, or acceptance tasks.</x:v>
      </x:c>
      <x:c r="F42" s="26" t="n">
        <x:f>LEN(C42)-LEN(SUBSTITUTE(C42,",",""))+1</x:f>
        <x:v>10</x:v>
      </x:c>
    </x:row>
    <x:row r="43" ht="40" customHeight="1">
      <x:c r="A43" s="26" t="str">
        <x:v>LID-AIT-002</x:v>
      </x:c>
      <x:c r="B43" s="26" t="str">
        <x:v>R6</x:v>
      </x:c>
      <x:c r="C43" s="26" t="str">
        <x:v>EVAL-R6-001, PRD-R6-001, UX-R6-001, ARCH-R6-001, ENG-R6-001, REL-R6-001, QA-R8-001, REL-R8-001, PRD-R9-001, QA-R9-001, REL-R9-001</x:v>
      </x:c>
      <x:c r="D43" s="26" t="str">
        <x:v>Planned and regression-gated.</x:v>
      </x:c>
      <x:c r="E43" s="26" t="str">
        <x:v>Mapped to one or more release-planning, implementation, or acceptance tasks.</x:v>
      </x:c>
      <x:c r="F43" s="26" t="n">
        <x:f>LEN(C43)-LEN(SUBSTITUTE(C43,",",""))+1</x:f>
        <x:v>11</x:v>
      </x:c>
    </x:row>
    <x:row r="44" ht="40" customHeight="1">
      <x:c r="A44" s="26" t="str">
        <x:v>LID-AIT-003</x:v>
      </x:c>
      <x:c r="B44" s="26" t="str">
        <x:v>R6</x:v>
      </x:c>
      <x:c r="C44" s="26" t="str">
        <x:v>EVAL-R6-001, PRD-R6-001, UX-R6-001, ARCH-R6-001, ENG-R6-001, REL-R6-001, QA-R8-001, REL-R8-001, PRD-R9-001, QA-R9-001, REL-R9-001</x:v>
      </x:c>
      <x:c r="D44" s="26" t="str">
        <x:v>Planned and regression-gated.</x:v>
      </x:c>
      <x:c r="E44" s="26" t="str">
        <x:v>Mapped to one or more release-planning, implementation, or acceptance tasks.</x:v>
      </x:c>
      <x:c r="F44" s="26" t="n">
        <x:f>LEN(C44)-LEN(SUBSTITUTE(C44,",",""))+1</x:f>
        <x:v>11</x:v>
      </x:c>
    </x:row>
    <x:row r="45" ht="40" customHeight="1">
      <x:c r="A45" s="26" t="str">
        <x:v>LID-AIT-004</x:v>
      </x:c>
      <x:c r="B45" s="26" t="str">
        <x:v>R6</x:v>
      </x:c>
      <x:c r="C45" s="26" t="str">
        <x:v>PRD-R6-001, UX-R6-001, ARCH-R6-001, ENG-R6-001, REL-R6-001, QA-R8-001, REL-R8-001, PRD-R9-001, QA-R9-001, REL-R9-001</x:v>
      </x:c>
      <x:c r="D45" s="26" t="str">
        <x:v>Planned and regression-gated.</x:v>
      </x:c>
      <x:c r="E45" s="26" t="str">
        <x:v>Mapped to one or more release-planning, implementation, or acceptance tasks.</x:v>
      </x:c>
      <x:c r="F45" s="26" t="n">
        <x:f>LEN(C45)-LEN(SUBSTITUTE(C45,",",""))+1</x:f>
        <x:v>10</x:v>
      </x:c>
    </x:row>
    <x:row r="46" ht="40" customHeight="1">
      <x:c r="A46" s="26" t="str">
        <x:v>LID-AIT-005</x:v>
      </x:c>
      <x:c r="B46" s="26" t="str">
        <x:v>R6</x:v>
      </x:c>
      <x:c r="C46" s="26" t="str">
        <x:v>PRD-R6-001, UX-R6-001, ARCH-R6-001, ENG-R6-001, REL-R6-001, QA-R8-001, REL-R8-001, PRD-R9-001, QA-R9-001, REL-R9-001</x:v>
      </x:c>
      <x:c r="D46" s="26" t="str">
        <x:v>Planned and regression-gated.</x:v>
      </x:c>
      <x:c r="E46" s="26" t="str">
        <x:v>Mapped to one or more release-planning, implementation, or acceptance tasks.</x:v>
      </x:c>
      <x:c r="F46" s="26" t="n">
        <x:f>LEN(C46)-LEN(SUBSTITUTE(C46,",",""))+1</x:f>
        <x:v>10</x:v>
      </x:c>
    </x:row>
    <x:row r="47" ht="40" customHeight="1">
      <x:c r="A47" s="26" t="str">
        <x:v>LID-AIT-006</x:v>
      </x:c>
      <x:c r="B47" s="26" t="str">
        <x:v>R6</x:v>
      </x:c>
      <x:c r="C47" s="26" t="str">
        <x:v>EVAL-R6-001, PRD-R6-001, ARCH-R6-001, ENG-R6-001, REL-R6-001, QA-R8-001, REL-R8-001, PRD-R9-001, QA-R9-001, REL-R9-001</x:v>
      </x:c>
      <x:c r="D47" s="26" t="str">
        <x:v>Planned and regression-gated.</x:v>
      </x:c>
      <x:c r="E47" s="26" t="str">
        <x:v>Mapped to one or more release-planning, implementation, or acceptance tasks.</x:v>
      </x:c>
      <x:c r="F47" s="26" t="n">
        <x:f>LEN(C47)-LEN(SUBSTITUTE(C47,",",""))+1</x:f>
        <x:v>10</x:v>
      </x:c>
    </x:row>
    <x:row r="48" ht="40" customHeight="1">
      <x:c r="A48" s="26" t="str">
        <x:v>LID-AIT-007</x:v>
      </x:c>
      <x:c r="B48" s="26" t="str">
        <x:v>R6</x:v>
      </x:c>
      <x:c r="C48" s="26" t="str">
        <x:v>EVAL-R6-001, PRD-R6-001, UX-R6-001, ARCH-R6-001, ENG-R6-001, REL-R6-001, QA-R8-001, REL-R8-001, PRD-R9-001, QA-R9-001, REL-R9-001</x:v>
      </x:c>
      <x:c r="D48" s="26" t="str">
        <x:v>Planned and regression-gated.</x:v>
      </x:c>
      <x:c r="E48" s="26" t="str">
        <x:v>Mapped to one or more release-planning, implementation, or acceptance tasks.</x:v>
      </x:c>
      <x:c r="F48" s="26" t="n">
        <x:f>LEN(C48)-LEN(SUBSTITUTE(C48,",",""))+1</x:f>
        <x:v>11</x:v>
      </x:c>
    </x:row>
    <x:row r="49" ht="40" customHeight="1">
      <x:c r="A49" s="26" t="str">
        <x:v>LID-AIA-001</x:v>
      </x:c>
      <x:c r="B49" s="26" t="str">
        <x:v>R7</x:v>
      </x:c>
      <x:c r="C49" s="26" t="str">
        <x:v>EVAL-R7-001, PRD-R7-001, ARCH-R7-001, ENG-R7-001, REL-R7-001, QA-R8-001, REL-R8-001, PRD-R9-001, QA-R9-001, REL-R9-001</x:v>
      </x:c>
      <x:c r="D49" s="26" t="str">
        <x:v>Planned and regression-gated.</x:v>
      </x:c>
      <x:c r="E49" s="26" t="str">
        <x:v>Mapped to one or more release-planning, implementation, or acceptance tasks.</x:v>
      </x:c>
      <x:c r="F49" s="26" t="n">
        <x:f>LEN(C49)-LEN(SUBSTITUTE(C49,",",""))+1</x:f>
        <x:v>10</x:v>
      </x:c>
    </x:row>
    <x:row r="50" ht="40" customHeight="1">
      <x:c r="A50" s="26" t="str">
        <x:v>LID-AIA-002</x:v>
      </x:c>
      <x:c r="B50" s="26" t="str">
        <x:v>R7</x:v>
      </x:c>
      <x:c r="C50" s="26" t="str">
        <x:v>PRD-R7-001, UX-R7-001, ARCH-R7-001, ENG-R7-001, REL-R7-001, QA-R8-001, REL-R8-001, PRD-R9-001, QA-R9-001, REL-R9-001</x:v>
      </x:c>
      <x:c r="D50" s="26" t="str">
        <x:v>Planned and regression-gated.</x:v>
      </x:c>
      <x:c r="E50" s="26" t="str">
        <x:v>Mapped to one or more release-planning, implementation, or acceptance tasks.</x:v>
      </x:c>
      <x:c r="F50" s="26" t="n">
        <x:f>LEN(C50)-LEN(SUBSTITUTE(C50,",",""))+1</x:f>
        <x:v>10</x:v>
      </x:c>
    </x:row>
    <x:row r="51" ht="40" customHeight="1">
      <x:c r="A51" s="26" t="str">
        <x:v>LID-AIA-003</x:v>
      </x:c>
      <x:c r="B51" s="26" t="str">
        <x:v>R7</x:v>
      </x:c>
      <x:c r="C51" s="26" t="str">
        <x:v>EVAL-R7-001, PRD-R7-001, UX-R7-001, ARCH-R7-001, ENG-R7-001, REL-R7-001, QA-R8-001, REL-R8-001, PRD-R9-001, QA-R9-001, REL-R9-001</x:v>
      </x:c>
      <x:c r="D51" s="26" t="str">
        <x:v>Planned and regression-gated.</x:v>
      </x:c>
      <x:c r="E51" s="26" t="str">
        <x:v>Mapped to one or more release-planning, implementation, or acceptance tasks.</x:v>
      </x:c>
      <x:c r="F51" s="26" t="n">
        <x:f>LEN(C51)-LEN(SUBSTITUTE(C51,",",""))+1</x:f>
        <x:v>11</x:v>
      </x:c>
    </x:row>
    <x:row r="52" ht="40" customHeight="1">
      <x:c r="A52" s="26" t="str">
        <x:v>LID-AIA-004</x:v>
      </x:c>
      <x:c r="B52" s="26" t="str">
        <x:v>R7</x:v>
      </x:c>
      <x:c r="C52" s="26" t="str">
        <x:v>PRD-R7-001, ARCH-R7-001, ENG-R7-001, REL-R7-001, QA-R8-001, REL-R8-001, PRD-R9-001, QA-R9-001, REL-R9-001</x:v>
      </x:c>
      <x:c r="D52" s="26" t="str">
        <x:v>Planned and regression-gated.</x:v>
      </x:c>
      <x:c r="E52" s="26" t="str">
        <x:v>Mapped to one or more release-planning, implementation, or acceptance tasks.</x:v>
      </x:c>
      <x:c r="F52" s="26" t="n">
        <x:f>LEN(C52)-LEN(SUBSTITUTE(C52,",",""))+1</x:f>
        <x:v>9</x:v>
      </x:c>
    </x:row>
    <x:row r="53" ht="40" customHeight="1">
      <x:c r="A53" s="26" t="str">
        <x:v>LID-AIA-005</x:v>
      </x:c>
      <x:c r="B53" s="26" t="str">
        <x:v>R7</x:v>
      </x:c>
      <x:c r="C53" s="26" t="str">
        <x:v>EVAL-R7-001, PRD-R7-001, UX-R7-001, ARCH-R7-001, ENG-R7-001, REL-R7-001, QA-R8-001, REL-R8-001, PRD-R9-001, QA-R9-001, REL-R9-001</x:v>
      </x:c>
      <x:c r="D53" s="26" t="str">
        <x:v>Planned and regression-gated.</x:v>
      </x:c>
      <x:c r="E53" s="26" t="str">
        <x:v>Mapped to one or more release-planning, implementation, or acceptance tasks.</x:v>
      </x:c>
      <x:c r="F53" s="26" t="n">
        <x:f>LEN(C53)-LEN(SUBSTITUTE(C53,",",""))+1</x:f>
        <x:v>11</x:v>
      </x:c>
    </x:row>
    <x:row r="54" ht="40" customHeight="1">
      <x:c r="A54" s="26" t="str">
        <x:v>LID-AIA-006</x:v>
      </x:c>
      <x:c r="B54" s="26" t="str">
        <x:v>R7</x:v>
      </x:c>
      <x:c r="C54" s="26" t="str">
        <x:v>EVAL-R7-001, PRD-R7-001, UX-R7-001, ARCH-R7-001, ENG-R7-001, REL-R7-001, QA-R8-001, REL-R8-001, PRD-R9-001, QA-R9-001, REL-R9-001</x:v>
      </x:c>
      <x:c r="D54" s="26" t="str">
        <x:v>Planned and regression-gated.</x:v>
      </x:c>
      <x:c r="E54" s="26" t="str">
        <x:v>Mapped to one or more release-planning, implementation, or acceptance tasks.</x:v>
      </x:c>
      <x:c r="F54" s="26" t="n">
        <x:f>LEN(C54)-LEN(SUBSTITUTE(C54,",",""))+1</x:f>
        <x:v>11</x:v>
      </x:c>
    </x:row>
    <x:row r="55" ht="40" customHeight="1">
      <x:c r="A55" s="26" t="str">
        <x:v>LID-AIA-007</x:v>
      </x:c>
      <x:c r="B55" s="26" t="str">
        <x:v>R7</x:v>
      </x:c>
      <x:c r="C55" s="26" t="str">
        <x:v>PRD-R7-001, UX-R7-001, ARCH-R7-001, ENG-R7-001, REL-R7-001, QA-R8-001, REL-R8-001, PRD-R9-001, QA-R9-001, REL-R9-001</x:v>
      </x:c>
      <x:c r="D55" s="26" t="str">
        <x:v>Planned and regression-gated.</x:v>
      </x:c>
      <x:c r="E55" s="26" t="str">
        <x:v>Mapped to one or more release-planning, implementation, or acceptance tasks.</x:v>
      </x:c>
      <x:c r="F55" s="26" t="n">
        <x:f>LEN(C55)-LEN(SUBSTITUTE(C55,",",""))+1</x:f>
        <x:v>10</x:v>
      </x:c>
    </x:row>
    <x:row r="56" ht="40" customHeight="1">
      <x:c r="A56" s="26" t="str">
        <x:v>LID-AIA-008</x:v>
      </x:c>
      <x:c r="B56" s="26" t="str">
        <x:v>R7</x:v>
      </x:c>
      <x:c r="C56" s="26" t="str">
        <x:v>PRD-R7-001, UX-R7-001, ARCH-R7-001, ENG-R7-001, REL-R7-001, QA-R8-001, REL-R8-001, PRD-R9-001, QA-R9-001, REL-R9-001</x:v>
      </x:c>
      <x:c r="D56" s="26" t="str">
        <x:v>Planned and regression-gated.</x:v>
      </x:c>
      <x:c r="E56" s="26" t="str">
        <x:v>Mapped to one or more release-planning, implementation, or acceptance tasks.</x:v>
      </x:c>
      <x:c r="F56" s="26" t="n">
        <x:f>LEN(C56)-LEN(SUBSTITUTE(C56,",",""))+1</x:f>
        <x:v>10</x:v>
      </x:c>
    </x:row>
    <x:row r="57" ht="40" customHeight="1">
      <x:c r="A57" s="26" t="str">
        <x:v>LID-AIA-009</x:v>
      </x:c>
      <x:c r="B57" s="26" t="str">
        <x:v>R7</x:v>
      </x:c>
      <x:c r="C57" s="26" t="str">
        <x:v>PRD-R7-001, UX-R7-001, ARCH-R7-001, ENG-R7-001, REL-R7-001, QA-R8-001, REL-R8-001, PRD-R9-001, QA-R9-001, REL-R9-001</x:v>
      </x:c>
      <x:c r="D57" s="26" t="str">
        <x:v>Planned and regression-gated.</x:v>
      </x:c>
      <x:c r="E57" s="26" t="str">
        <x:v>Mapped to one or more release-planning, implementation, or acceptance tasks.</x:v>
      </x:c>
      <x:c r="F57" s="26" t="n">
        <x:f>LEN(C57)-LEN(SUBSTITUTE(C57,",",""))+1</x:f>
        <x:v>10</x:v>
      </x:c>
    </x:row>
    <x:row r="58" ht="40" customHeight="1">
      <x:c r="A58" s="26" t="str">
        <x:v>LID-AIA-010</x:v>
      </x:c>
      <x:c r="B58" s="26" t="str">
        <x:v>R7</x:v>
      </x:c>
      <x:c r="C58" s="26" t="str">
        <x:v>PRD-R7-001, UX-R7-001, ARCH-R7-001, ENG-R7-001, REL-R7-001, QA-R8-001, REL-R8-001, PRD-R9-001, QA-R9-001, REL-R9-001</x:v>
      </x:c>
      <x:c r="D58" s="26" t="str">
        <x:v>Planned and regression-gated.</x:v>
      </x:c>
      <x:c r="E58" s="26" t="str">
        <x:v>Mapped to one or more release-planning, implementation, or acceptance tasks.</x:v>
      </x:c>
      <x:c r="F58" s="26" t="n">
        <x:f>LEN(C58)-LEN(SUBSTITUTE(C58,",",""))+1</x:f>
        <x:v>10</x:v>
      </x:c>
    </x:row>
    <x:row r="59" ht="40" customHeight="1">
      <x:c r="A59" s="26" t="str">
        <x:v>LID-AIA-011</x:v>
      </x:c>
      <x:c r="B59" s="26" t="str">
        <x:v>R7</x:v>
      </x:c>
      <x:c r="C59" s="26" t="str">
        <x:v>EVAL-R7-001, PRD-R7-001, ARCH-R7-001, ENG-R7-001, REL-R7-001, QA-R8-001, REL-R8-001, PRD-R9-001, QA-R9-001, REL-R9-001</x:v>
      </x:c>
      <x:c r="D59" s="26" t="str">
        <x:v>Planned and regression-gated.</x:v>
      </x:c>
      <x:c r="E59" s="26" t="str">
        <x:v>Mapped to one or more release-planning, implementation, or acceptance tasks.</x:v>
      </x:c>
      <x:c r="F59" s="26" t="n">
        <x:f>LEN(C59)-LEN(SUBSTITUTE(C59,",",""))+1</x:f>
        <x:v>10</x:v>
      </x:c>
    </x:row>
    <x:row r="60" ht="40" customHeight="1">
      <x:c r="A60" s="26" t="str">
        <x:v>LID-OPS-001</x:v>
      </x:c>
      <x:c r="B60" s="26" t="str">
        <x:v>R0</x:v>
      </x:c>
      <x:c r="C60" s="26" t="str">
        <x:v>SPK-R0-001, PRD-R0-001, UX-R0-001, ARCH-R0-001, ENG-R0-001, REL-R0-001, QA-R8-001, REL-R8-001, PRD-R9-001, QA-R9-001, REL-R9-001</x:v>
      </x:c>
      <x:c r="D60" s="26" t="str">
        <x:v>Planned and regression-gated.</x:v>
      </x:c>
      <x:c r="E60" s="26" t="str">
        <x:v>Mapped to one or more release-planning, implementation, or acceptance tasks.</x:v>
      </x:c>
      <x:c r="F60" s="26" t="n">
        <x:f>LEN(C60)-LEN(SUBSTITUTE(C60,",",""))+1</x:f>
        <x:v>11</x:v>
      </x:c>
    </x:row>
    <x:row r="61" ht="40" customHeight="1">
      <x:c r="A61" s="26" t="str">
        <x:v>LID-OPS-002</x:v>
      </x:c>
      <x:c r="B61" s="26" t="str">
        <x:v>R0</x:v>
      </x:c>
      <x:c r="C61" s="26" t="str">
        <x:v>SPK-R0-001, PRD-R0-001, ARCH-R0-001, ENG-R0-001, REL-R0-001, QA-R8-001, REL-R8-001, PRD-R9-001, QA-R9-001, REL-R9-001</x:v>
      </x:c>
      <x:c r="D61" s="26" t="str">
        <x:v>Planned and regression-gated.</x:v>
      </x:c>
      <x:c r="E61" s="26" t="str">
        <x:v>Mapped to one or more release-planning, implementation, or acceptance tasks.</x:v>
      </x:c>
      <x:c r="F61" s="26" t="n">
        <x:f>LEN(C61)-LEN(SUBSTITUTE(C61,",",""))+1</x:f>
        <x:v>10</x:v>
      </x:c>
    </x:row>
    <x:row r="62" ht="40" customHeight="1">
      <x:c r="A62" s="26" t="str">
        <x:v>LID-OPS-003</x:v>
      </x:c>
      <x:c r="B62" s="26" t="str">
        <x:v>R0</x:v>
      </x:c>
      <x:c r="C62" s="26" t="str">
        <x:v>SPK-R0-001, PRD-R0-001, ARCH-R0-001, ENG-R0-001, REL-R0-001, QA-R8-001, REL-R8-001, PRD-R9-001, QA-R9-001, REL-R9-001</x:v>
      </x:c>
      <x:c r="D62" s="26" t="str">
        <x:v>Planned and regression-gated.</x:v>
      </x:c>
      <x:c r="E62" s="26" t="str">
        <x:v>Mapped to one or more release-planning, implementation, or acceptance tasks.</x:v>
      </x:c>
      <x:c r="F62" s="26" t="n">
        <x:f>LEN(C62)-LEN(SUBSTITUTE(C62,",",""))+1</x:f>
        <x:v>10</x:v>
      </x:c>
    </x:row>
    <x:row r="63" ht="40" customHeight="1">
      <x:c r="A63" s="26" t="str">
        <x:v>LID-OPS-004</x:v>
      </x:c>
      <x:c r="B63" s="26" t="str">
        <x:v>R0</x:v>
      </x:c>
      <x:c r="C63" s="26" t="str">
        <x:v>SPK-R0-001, PRD-R0-001, ARCH-R0-001, ENG-R0-001, REL-R0-001, QA-R8-001, REL-R8-001, PRD-R9-001, QA-R9-001, REL-R9-001</x:v>
      </x:c>
      <x:c r="D63" s="26" t="str">
        <x:v>Planned and regression-gated.</x:v>
      </x:c>
      <x:c r="E63" s="26" t="str">
        <x:v>Mapped to one or more release-planning, implementation, or acceptance tasks.</x:v>
      </x:c>
      <x:c r="F63" s="26" t="n">
        <x:f>LEN(C63)-LEN(SUBSTITUTE(C63,",",""))+1</x:f>
        <x:v>10</x:v>
      </x:c>
    </x:row>
    <x:row r="64" ht="40" customHeight="1">
      <x:c r="A64" s="26" t="str">
        <x:v>LID-OPS-005</x:v>
      </x:c>
      <x:c r="B64" s="26" t="str">
        <x:v>R2</x:v>
      </x:c>
      <x:c r="C64" s="26" t="str">
        <x:v>PRD-R2-001, ARCH-R2-001, ENG-R2-001, REL-R2-001, QA-R8-001, REL-R8-001, PRD-R9-001, QA-R9-001, REL-R9-001</x:v>
      </x:c>
      <x:c r="D64" s="26" t="str">
        <x:v>Planned and regression-gated.</x:v>
      </x:c>
      <x:c r="E64" s="26" t="str">
        <x:v>Mapped to one or more release-planning, implementation, or acceptance tasks.</x:v>
      </x:c>
      <x:c r="F64" s="26" t="n">
        <x:f>LEN(C64)-LEN(SUBSTITUTE(C64,",",""))+1</x:f>
        <x:v>9</x:v>
      </x:c>
    </x:row>
    <x:row r="65" ht="40" customHeight="1">
      <x:c r="A65" s="26" t="str">
        <x:v>LID-OPS-006</x:v>
      </x:c>
      <x:c r="B65" s="26" t="str">
        <x:v>R8</x:v>
      </x:c>
      <x:c r="C65" s="26" t="str">
        <x:v>PRD-R8-001, ARCH-R8-001, QA-R8-001, REL-R8-001, PRD-R9-001, QA-R9-001, REL-R9-001, PID-R10-001, ARCH-R10-001, REL-R10-001</x:v>
      </x:c>
      <x:c r="D65" s="26" t="str">
        <x:v>Planned and regression-gated.</x:v>
      </x:c>
      <x:c r="E65" s="26" t="str">
        <x:v>Mapped to one or more release-planning, implementation, or acceptance tasks.</x:v>
      </x:c>
      <x:c r="F65" s="26" t="n">
        <x:f>LEN(C65)-LEN(SUBSTITUTE(C65,",",""))+1</x:f>
        <x:v>10</x:v>
      </x:c>
    </x:row>
    <x:row r="66" ht="40" customHeight="1">
      <x:c r="A66" s="26" t="str">
        <x:v>LID-OPS-007</x:v>
      </x:c>
      <x:c r="B66" s="26" t="str">
        <x:v>R9</x:v>
      </x:c>
      <x:c r="C66" s="26" t="str">
        <x:v>QA-R8-001, REL-R8-001, PRD-R9-001, QA-R9-001, REL-R9-001, PID-R10-001, ARCH-R10-001, REL-R10-001</x:v>
      </x:c>
      <x:c r="D66" s="26" t="str">
        <x:v>Planned and regression-gated.</x:v>
      </x:c>
      <x:c r="E66" s="26" t="str">
        <x:v>Mapped to one or more release-planning, implementation, or acceptance tasks.</x:v>
      </x:c>
      <x:c r="F66" s="26" t="n">
        <x:f>LEN(C66)-LEN(SUBSTITUTE(C66,",",""))+1</x:f>
        <x:v>8</x:v>
      </x:c>
    </x:row>
    <x:row r="67" ht="40" customHeight="1">
      <x:c r="A67" s="26" t="str">
        <x:v>LID-OPS-008</x:v>
      </x:c>
      <x:c r="B67" s="26" t="str">
        <x:v>R0</x:v>
      </x:c>
      <x:c r="C67" s="26" t="str">
        <x:v>SPK-R0-001, PRD-R0-001, ARCH-R0-001, ENG-R0-001, REL-R0-001, QA-R8-001, REL-R8-001, PRD-R9-001, QA-R9-001, REL-R9-001, PID-R10-001, ARCH-R10-001, REL-R10-001</x:v>
      </x:c>
      <x:c r="D67" s="26" t="str">
        <x:v>Planned and regression-gated.</x:v>
      </x:c>
      <x:c r="E67" s="26" t="str">
        <x:v>Mapped to one or more release-planning, implementation, or acceptance tasks.</x:v>
      </x:c>
      <x:c r="F67" s="26" t="n">
        <x:f>LEN(C67)-LEN(SUBSTITUTE(C67,",",""))+1</x:f>
        <x:v>13</x:v>
      </x:c>
    </x:row>
    <x:row r="68" ht="40" customHeight="1">
      <x:c r="A68" s="26" t="str">
        <x:v>LID-OPS-009</x:v>
      </x:c>
      <x:c r="B68" s="26" t="str">
        <x:v>R2</x:v>
      </x:c>
      <x:c r="C68" s="26" t="str">
        <x:v>PRD-R2-001, ARCH-R2-001, ENG-R2-002, REL-R2-001, QA-R8-001, REL-R8-001, PRD-R9-001, QA-R9-001, REL-R9-001</x:v>
      </x:c>
      <x:c r="D68" s="26" t="str">
        <x:v>Planned and regression-gated.</x:v>
      </x:c>
      <x:c r="E68" s="26" t="str">
        <x:v>Mapped to one or more release-planning, implementation, or acceptance tasks.</x:v>
      </x:c>
      <x:c r="F68" s="26" t="n">
        <x:f>LEN(C68)-LEN(SUBSTITUTE(C68,",",""))+1</x:f>
        <x:v>9</x:v>
      </x:c>
    </x:row>
    <x:row r="69" ht="40" customHeight="1">
      <x:c r="A69" s="26" t="str">
        <x:v>LID-OPS-010</x:v>
      </x:c>
      <x:c r="B69" s="26" t="str">
        <x:v>R4</x:v>
      </x:c>
      <x:c r="C69" s="26" t="str">
        <x:v>PRD-R4-001, UX-R4-001, ARCH-R4-001, ENG-R4-002, REL-R4-001, QA-R8-001, REL-R8-001, PRD-R9-001, QA-R9-001, REL-R9-001</x:v>
      </x:c>
      <x:c r="D69" s="26" t="str">
        <x:v>Planned and regression-gated.</x:v>
      </x:c>
      <x:c r="E69" s="26" t="str">
        <x:v>Mapped to one or more release-planning, implementation, or acceptance tasks.</x:v>
      </x:c>
      <x:c r="F69" s="26" t="n">
        <x:f>LEN(C69)-LEN(SUBSTITUTE(C69,",",""))+1</x:f>
        <x:v>10</x:v>
      </x:c>
    </x:row>
    <x:row r="70" ht="40" customHeight="1">
      <x:c r="A70" s="26" t="str">
        <x:v>LID-OPS-011</x:v>
      </x:c>
      <x:c r="B70" s="26" t="str">
        <x:v>R0</x:v>
      </x:c>
      <x:c r="C70" s="26" t="str">
        <x:v>SPK-R0-001, PRD-R0-001, ARCH-R0-001, ENG-R0-001, REL-R0-001, PRD-R1-001, ARCH-R1-001, ENG-R1-001, REL-R1-001, PRD-R2-001, ARCH-R2-001, ENG-R2-001, ENG-R2-002, REL-R2-001, PRD-R3-001, ARCH-R3-001, ENG-R3-001, REL-R3-001, PRD-R4-001, ARCH-R4-001, ENG-R4-001, ENG-R4-002, REL-R4-001, PRD-R5-001, ARCH-R5-001, ENG-R5-001, REL-R5-001, PRD-R6-001, ARCH-R6-001, ENG-R6-001, REL-R6-001, PRD-R7-001, ARCH-R7-001, ENG-R7-001, REL-R7-001, PRD-R8-001, ARCH-R8-001, QA-R8-001, REL-R8-001, PRD-R9-001, QA-R9-001, REL-R9-001, PID-R10-001, ARCH-R10-001, REL-R10-001</x:v>
      </x:c>
      <x:c r="D70" s="26" t="str">
        <x:v>Planned and regression-gated.</x:v>
      </x:c>
      <x:c r="E70" s="26" t="str">
        <x:v>Mapped to one or more release-planning, implementation, or acceptance tasks.</x:v>
      </x:c>
      <x:c r="F70" s="26" t="n">
        <x:f>LEN(C70)-LEN(SUBSTITUTE(C70,",",""))+1</x:f>
        <x:v>45</x:v>
      </x:c>
    </x:row>
    <x:row r="71" ht="40" customHeight="1">
      <x:c r="A71" s="26" t="str">
        <x:v>LID-OPS-012</x:v>
      </x:c>
      <x:c r="B71" s="26" t="str">
        <x:v>R0</x:v>
      </x:c>
      <x:c r="C71" s="26" t="str">
        <x:v>SPK-R0-001, PRD-R0-001, UX-R0-001, ARCH-R0-001, ENG-R0-001, REL-R0-001, QA-R8-001, REL-R8-001, PRD-R9-001, QA-R9-001, REL-R9-001</x:v>
      </x:c>
      <x:c r="D71" s="26" t="str">
        <x:v>Planned and regression-gated.</x:v>
      </x:c>
      <x:c r="E71" s="26" t="str">
        <x:v>Mapped to one or more release-planning, implementation, or acceptance tasks.</x:v>
      </x:c>
      <x:c r="F71" s="26" t="n">
        <x:f>LEN(C71)-LEN(SUBSTITUTE(C71,",",""))+1</x:f>
        <x:v>11</x:v>
      </x:c>
    </x:row>
    <x:row r="72" ht="40" customHeight="1">
      <x:c r="A72" s="26" t="str">
        <x:v>LID-OPS-013</x:v>
      </x:c>
      <x:c r="B72" s="26" t="str">
        <x:v>R4</x:v>
      </x:c>
      <x:c r="C72" s="26" t="str">
        <x:v>PRD-R4-001, UX-R4-001, ARCH-R4-001, ENG-R4-002, REL-R4-001, QA-R8-001, REL-R8-001, PRD-R9-001, QA-R9-001, REL-R9-001</x:v>
      </x:c>
      <x:c r="D72" s="26" t="str">
        <x:v>Planned and regression-gated.</x:v>
      </x:c>
      <x:c r="E72" s="26" t="str">
        <x:v>Mapped to one or more release-planning, implementation, or acceptance tasks.</x:v>
      </x:c>
      <x:c r="F72" s="26" t="n">
        <x:f>LEN(C72)-LEN(SUBSTITUTE(C72,",",""))+1</x:f>
        <x:v>10</x:v>
      </x:c>
    </x:row>
    <x:row r="73" ht="40" customHeight="1">
      <x:c r="A73" s="26" t="str">
        <x:v>LID-OPS-014</x:v>
      </x:c>
      <x:c r="B73" s="26" t="str">
        <x:v>R0</x:v>
      </x:c>
      <x:c r="C73" s="26" t="str">
        <x:v>SPK-R0-001, PRD-R0-001, UX-R0-001, ARCH-R0-001, ENG-R0-001, REL-R0-001, PRD-R8-001, ARCH-R8-001, QA-R8-001, REL-R8-001, PRD-R9-001, QA-R9-001, REL-R9-001, PID-R10-001, ARCH-R10-001, REL-R10-001</x:v>
      </x:c>
      <x:c r="D73" s="26" t="str">
        <x:v>Planned and regression-gated.</x:v>
      </x:c>
      <x:c r="E73" s="26" t="str">
        <x:v>Mapped to one or more release-planning, implementation, or acceptance tasks.</x:v>
      </x:c>
      <x:c r="F73" s="26" t="n">
        <x:f>LEN(C73)-LEN(SUBSTITUTE(C73,",",""))+1</x:f>
        <x:v>16</x:v>
      </x:c>
    </x:row>
    <x:row r="74" ht="40" customHeight="1">
      <x:c r="A74" s="26" t="str">
        <x:v>LID-OPS-015</x:v>
      </x:c>
      <x:c r="B74" s="26" t="str">
        <x:v>R2</x:v>
      </x:c>
      <x:c r="C74" s="26" t="str">
        <x:v>PRD-R2-001, UX-R2-001, ARCH-R2-001, ENG-R2-001, REL-R2-001, PRD-R5-001, UX-R5-001, ARCH-R5-001, ENG-R5-001, REL-R5-001, QA-R8-001, REL-R8-001, PRD-R9-001, QA-R9-001, REL-R9-001</x:v>
      </x:c>
      <x:c r="D74" s="26" t="str">
        <x:v>Planned and regression-gated.</x:v>
      </x:c>
      <x:c r="E74" s="26" t="str">
        <x:v>Mapped to one or more release-planning, implementation, or acceptance tasks.</x:v>
      </x:c>
      <x:c r="F74" s="26" t="n">
        <x:f>LEN(C74)-LEN(SUBSTITUTE(C74,",",""))+1</x:f>
        <x:v>15</x:v>
      </x:c>
    </x:row>
    <x:row r="75" ht="40" customHeight="1">
      <x:c r="A75" s="26" t="str">
        <x:v>LID-OPS-016</x:v>
      </x:c>
      <x:c r="B75" s="26" t="str">
        <x:v>R0</x:v>
      </x:c>
      <x:c r="C75" s="26" t="str">
        <x:v>SPK-R0-001, PRD-R0-001, ARCH-R0-001, ENG-R0-001, REL-R0-001, QA-R8-001, REL-R8-001, PRD-R9-001, QA-R9-001, REL-R9-001</x:v>
      </x:c>
      <x:c r="D75" s="26" t="str">
        <x:v>Planned and regression-gated.</x:v>
      </x:c>
      <x:c r="E75" s="26" t="str">
        <x:v>Mapped to one or more release-planning, implementation, or acceptance tasks.</x:v>
      </x:c>
      <x:c r="F75" s="26" t="n">
        <x:f>LEN(C75)-LEN(SUBSTITUTE(C75,",",""))+1</x:f>
        <x:v>10</x:v>
      </x:c>
    </x:row>
    <x:row r="76" ht="40" customHeight="1">
      <x:c r="A76" s="26" t="str">
        <x:v>LID-OPS-017</x:v>
      </x:c>
      <x:c r="B76" s="26" t="str">
        <x:v>R6</x:v>
      </x:c>
      <x:c r="C76" s="26" t="str">
        <x:v>EVAL-R6-001, PRD-R6-001, UX-R6-001, ARCH-R6-001, ENG-R6-001, REL-R6-001, EVAL-R7-001, PRD-R7-001, UX-R7-001, ARCH-R7-001, ENG-R7-001, REL-R7-001, QA-R8-001, REL-R8-001, PRD-R9-001, QA-R9-001, REL-R9-001</x:v>
      </x:c>
      <x:c r="D76" s="26" t="str">
        <x:v>Planned and regression-gated.</x:v>
      </x:c>
      <x:c r="E76" s="26" t="str">
        <x:v>Mapped to one or more release-planning, implementation, or acceptance tasks.</x:v>
      </x:c>
      <x:c r="F76" s="26" t="n">
        <x:f>LEN(C76)-LEN(SUBSTITUTE(C76,",",""))+1</x:f>
        <x:v>17</x:v>
      </x:c>
    </x:row>
    <x:row r="77" ht="40" customHeight="1">
      <x:c r="A77" s="26" t="str">
        <x:v>LID-OPS-018</x:v>
      </x:c>
      <x:c r="B77" s="26" t="str">
        <x:v>R0</x:v>
      </x:c>
      <x:c r="C77" s="26" t="str">
        <x:v>SPK-R0-001, PRD-R0-001, UX-R0-001, ARCH-R0-001, ENG-R0-001, REL-R0-001, PRD-R1-001, ARCH-R1-001, ENG-R1-001, REL-R1-001, PRD-R2-001, ARCH-R2-001, ENG-R2-001, ENG-R2-002, REL-R2-001, PRD-R3-001, ARCH-R3-001, ENG-R3-001, REL-R3-001, PRD-R4-001, ARCH-R4-001, ENG-R4-001, ENG-R4-002, REL-R4-001, PRD-R5-001, ARCH-R5-001, ENG-R5-001, REL-R5-001, PRD-R6-001, ARCH-R6-001, ENG-R6-001, REL-R6-001, PRD-R7-001, ARCH-R7-001, ENG-R7-001, REL-R7-001, PRD-R8-001, ARCH-R8-001, QA-R8-001, REL-R8-001, PRD-R9-001, QA-R9-001, REL-R9-001, PID-R10-001, ARCH-R10-001, REL-R10-001</x:v>
      </x:c>
      <x:c r="D77" s="26" t="str">
        <x:v>Planned and regression-gated.</x:v>
      </x:c>
      <x:c r="E77" s="26" t="str">
        <x:v>Mapped to one or more release-planning, implementation, or acceptance tasks.</x:v>
      </x:c>
      <x:c r="F77" s="26" t="n">
        <x:f>LEN(C77)-LEN(SUBSTITUTE(C77,",",""))+1</x:f>
        <x:v>46</x:v>
      </x:c>
    </x:row>
    <x:row r="78" ht="40" customHeight="1">
      <x:c r="A78" s="26" t="str">
        <x:v>LID-DEF-001</x:v>
      </x:c>
      <x:c r="B78" s="26" t="str">
        <x:v>Deferred</x:v>
      </x:c>
      <x:c r="C78" s="26" t="str">
        <x:v>None — explicitly deferred</x:v>
      </x:c>
      <x:c r="D78" s="26" t="str">
        <x:v>Explicitly deferred; no R0–R10 implementation task.</x:v>
      </x:c>
      <x:c r="E78" s="26" t="str">
        <x:v>Historical VoiceNotes import is deferred.</x:v>
      </x:c>
      <x:c r="F78" s="26" t="n">
        <x:f>0</x:f>
        <x:v>0</x:v>
      </x:c>
    </x:row>
    <x:row r="79" ht="40" customHeight="1">
      <x:c r="A79" s="26" t="str">
        <x:v>LID-DEF-002</x:v>
      </x:c>
      <x:c r="B79" s="26" t="str">
        <x:v>Deferred</x:v>
      </x:c>
      <x:c r="C79" s="26" t="str">
        <x:v>None — explicitly deferred</x:v>
      </x:c>
      <x:c r="D79" s="26" t="str">
        <x:v>Explicitly deferred; no R0–R10 implementation task.</x:v>
      </x:c>
      <x:c r="E79" s="26" t="str">
        <x:v>Coaching, themes, streaks, reminders, and resurfacing are deferred.</x:v>
      </x:c>
      <x:c r="F79" s="26" t="n">
        <x:f>0</x:f>
        <x:v>0</x:v>
      </x:c>
    </x:row>
    <x:row r="80" ht="40" customHeight="1">
      <x:c r="A80" s="26" t="str">
        <x:v>LID-DEF-003</x:v>
      </x:c>
      <x:c r="B80" s="26" t="str">
        <x:v>Deferred</x:v>
      </x:c>
      <x:c r="C80" s="26" t="str">
        <x:v>None — explicitly deferred</x:v>
      </x:c>
      <x:c r="D80" s="26" t="str">
        <x:v>Explicitly deferred; no R0–R10 implementation task.</x:v>
      </x:c>
      <x:c r="E80" s="26" t="str">
        <x:v>Semantic, conversational, and question-answering retrieval is deferred.</x:v>
      </x:c>
      <x:c r="F80" s="26" t="n">
        <x:f>0</x:f>
        <x:v>0</x:v>
      </x:c>
    </x:row>
    <x:row r="81" ht="40" customHeight="1">
      <x:c r="A81" s="26" t="str">
        <x:v>LID-DEF-004</x:v>
      </x:c>
      <x:c r="B81" s="26" t="str">
        <x:v>Deferred</x:v>
      </x:c>
      <x:c r="C81" s="26" t="str">
        <x:v>None — explicitly deferred</x:v>
      </x:c>
      <x:c r="D81" s="26" t="str">
        <x:v>Explicitly deferred; no R0–R10 implementation task.</x:v>
      </x:c>
      <x:c r="E81" s="26" t="str">
        <x:v>Year mosaic, media wall, maps, and native/offline applications are deferred.</x:v>
      </x:c>
      <x:c r="F81" s="26" t="n">
        <x:f>0</x:f>
        <x:v>0</x:v>
      </x:c>
    </x:row>
    <x:row r="82" ht="40" customHeight="1">
      <x:c r="A82" s="26" t="str">
        <x:v>LID-DEF-005</x:v>
      </x:c>
      <x:c r="B82" s="26" t="str">
        <x:v>Deferred</x:v>
      </x:c>
      <x:c r="C82" s="26" t="str">
        <x:v>None — explicitly deferred</x:v>
      </x:c>
      <x:c r="D82" s="26" t="str">
        <x:v>Explicitly deferred; no R0–R10 implementation task.</x:v>
      </x:c>
      <x:c r="E82" s="26" t="str">
        <x:v>PDF/Word/OCR ingestion, books/printing, and immutable export are deferred.</x:v>
      </x:c>
      <x:c r="F82" s="26" t="n">
        <x:f>0</x:f>
        <x:v>0</x:v>
      </x:c>
    </x:row>
    <x:row r="83" ht="40" customHeight="1">
      <x:c r="A83" s="26" t="str">
        <x:v>LID-DEF-006</x:v>
      </x:c>
      <x:c r="B83" s="26" t="str">
        <x:v>Deferred</x:v>
      </x:c>
      <x:c r="C83" s="26" t="str">
        <x:v>None — explicitly deferred</x:v>
      </x:c>
      <x:c r="D83" s="26" t="str">
        <x:v>Explicitly deferred; no R0–R10 implementation task.</x:v>
      </x:c>
      <x:c r="E83" s="26" t="str">
        <x:v>Additional or fuzzy VoiceNotes tag eligibility is deferred.</x:v>
      </x:c>
      <x:c r="F83" s="26" t="n">
        <x:f>0</x:f>
        <x:v>0</x:v>
      </x:c>
    </x:row>
  </x:sheetData>
  <x:mergeCells>
    <x:mergeCell ref="A1:F2"/>
    <x:mergeCell ref="A3:F3"/>
  </x:mergeCells>
  <x:conditionalFormatting sqref="B6:B83">
    <x:cfRule type="containsText" dxfId="16" priority="1" operator="containsText" text="Deferred"/>
  </x:conditionalFormatting>
  <x:pageMargins left="0.7" right="0.7" top="0.75" bottom="0.75" header="0.3" footer="0.3"/>
  <x:tableParts count="1">
    <x:tablePart xmlns:r="http://schemas.openxmlformats.org/officeDocument/2006/relationships" r:id="R14835ba129d2488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4" hidden="0" customWidth="1"/>
    <x:col min="4" max="4" width="14" hidden="0" customWidth="1"/>
    <x:col min="5" max="5" width="30" hidden="0" customWidth="1"/>
    <x:col min="6" max="6" width="32" hidden="0" customWidth="1"/>
    <x:col min="7" max="7" width="52" hidden="0" customWidth="1"/>
    <x:col min="8" max="8" width="24" hidden="0" customWidth="1"/>
  </x:cols>
  <x:sheetData>
    <x:row r="1" ht="28" customHeight="1">
      <x:c r="A1" s="5" t="str">
        <x:v>Delivery Risks, Assumptions, Dependencies, and Release Gates</x:v>
      </x:c>
      <x:c r="B1" s="5" t="str">
        <x:v>Delivery Risks, Assumptions, Dependencies, and Release Gates</x:v>
      </x:c>
      <x:c r="C1" s="5" t="str">
        <x:v>Delivery Risks, Assumptions, Dependencies, and Release Gates</x:v>
      </x:c>
      <x:c r="D1" s="5" t="str">
        <x:v>Delivery Risks, Assumptions, Dependencies, and Release Gates</x:v>
      </x:c>
      <x:c r="E1" s="5" t="str">
        <x:v>Delivery Risks, Assumptions, Dependencies, and Release Gates</x:v>
      </x:c>
      <x:c r="F1" s="5" t="str">
        <x:v>Delivery Risks, Assumptions, Dependencies, and Release Gates</x:v>
      </x:c>
      <x:c r="G1" s="5" t="str">
        <x:v>Delivery Risks, Assumptions, Dependencies, and Release Gates</x:v>
      </x:c>
      <x:c r="H1" s="5" t="str">
        <x:v>Delivery Risks, Assumptions, Dependencies, and Release Gates</x:v>
      </x:c>
    </x:row>
    <x:row r="2" ht="28" customHeight="1">
      <x:c r="A2" s="5" t="str">
        <x:v>Delivery Risks, Assumptions, Dependencies, and Release Gates</x:v>
      </x:c>
      <x:c r="B2" s="5" t="str">
        <x:v>Delivery Risks, Assumptions, Dependencies, and Release Gates</x:v>
      </x:c>
      <x:c r="C2" s="5" t="str">
        <x:v>Delivery Risks, Assumptions, Dependencies, and Release Gates</x:v>
      </x:c>
      <x:c r="D2" s="5" t="str">
        <x:v>Delivery Risks, Assumptions, Dependencies, and Release Gates</x:v>
      </x:c>
      <x:c r="E2" s="5" t="str">
        <x:v>Delivery Risks, Assumptions, Dependencies, and Release Gates</x:v>
      </x:c>
      <x:c r="F2" s="5" t="str">
        <x:v>Delivery Risks, Assumptions, Dependencies, and Release Gates</x:v>
      </x:c>
      <x:c r="G2" s="5" t="str">
        <x:v>Delivery Risks, Assumptions, Dependencies, and Release Gates</x:v>
      </x:c>
      <x:c r="H2" s="5" t="str">
        <x:v>Delivery Risks, Assumptions, Dependencies, and Release Gates</x:v>
      </x:c>
    </x:row>
    <x:row r="3" ht="34" customHeight="1">
      <x:c r="A3" s="14" t="str">
        <x:v>Risk responses preserve privacy, recovery, accessibility, and co-resident safety before schedule. Unknown live/provider facts remain evidence-gated.</x:v>
      </x:c>
      <x:c r="B3" s="15" t="str">
        <x:v>Risk responses preserve privacy, recovery, accessibility, and co-resident safety before schedule. Unknown live/provider facts remain evidence-gated.</x:v>
      </x:c>
      <x:c r="C3" s="15" t="str">
        <x:v>Risk responses preserve privacy, recovery, accessibility, and co-resident safety before schedule. Unknown live/provider facts remain evidence-gated.</x:v>
      </x:c>
      <x:c r="D3" s="15" t="str">
        <x:v>Risk responses preserve privacy, recovery, accessibility, and co-resident safety before schedule. Unknown live/provider facts remain evidence-gated.</x:v>
      </x:c>
      <x:c r="E3" s="15" t="str">
        <x:v>Risk responses preserve privacy, recovery, accessibility, and co-resident safety before schedule. Unknown live/provider facts remain evidence-gated.</x:v>
      </x:c>
      <x:c r="F3" s="15" t="str">
        <x:v>Risk responses preserve privacy, recovery, accessibility, and co-resident safety before schedule. Unknown live/provider facts remain evidence-gated.</x:v>
      </x:c>
      <x:c r="G3" s="15" t="str">
        <x:v>Risk responses preserve privacy, recovery, accessibility, and co-resident safety before schedule. Unknown live/provider facts remain evidence-gated.</x:v>
      </x:c>
      <x:c r="H3" s="16" t="str">
        <x:v>Risk responses preserve privacy, recovery, accessibility, and co-resident safety before schedule. Unknown live/provider facts remain evidence-gated.</x:v>
      </x:c>
    </x:row>
    <x:row r="5" ht="30" customHeight="1">
      <x:c r="A5" s="22" t="str">
        <x:v>ID</x:v>
      </x:c>
      <x:c r="B5" s="22" t="str">
        <x:v>Type</x:v>
      </x:c>
      <x:c r="C5" s="22" t="str">
        <x:v>Milestone</x:v>
      </x:c>
      <x:c r="D5" s="22" t="str">
        <x:v>Risk / assumption / dependency</x:v>
      </x:c>
      <x:c r="E5" s="22" t="str">
        <x:v>Owner</x:v>
      </x:c>
      <x:c r="F5" s="22" t="str">
        <x:v>Trigger</x:v>
      </x:c>
      <x:c r="G5" s="22" t="str">
        <x:v>Response</x:v>
      </x:c>
      <x:c r="H5" s="22" t="str">
        <x:v>Status</x:v>
      </x:c>
    </x:row>
    <x:row r="6" ht="56" customHeight="1">
      <x:c r="A6" s="26" t="str">
        <x:v>RAID-001</x:v>
      </x:c>
      <x:c r="B6" s="26" t="str">
        <x:v>Risk</x:v>
      </x:c>
      <x:c r="C6" s="26" t="str">
        <x:v>R0</x:v>
      </x:c>
      <x:c r="D6" s="26" t="str">
        <x:v>Shared-host contention or namespace/routing collision harms an existing service.</x:v>
      </x:c>
      <x:c r="E6" s="26" t="str">
        <x:v>Technical Architect</x:v>
      </x:c>
      <x:c r="F6" s="26" t="str">
        <x:v>R0 entry/exit</x:v>
      </x:c>
      <x:c r="G6" s="26" t="str">
        <x:v>Synthetic-only live preflight, limits, non-regression, and rollback; block R1 on failure.</x:v>
      </x:c>
      <x:c r="H6" s="26" t="str">
        <x:v>Open</x:v>
      </x:c>
    </x:row>
    <x:row r="7" ht="56" customHeight="1">
      <x:c r="A7" s="26" t="str">
        <x:v>RAID-002</x:v>
      </x:c>
      <x:c r="B7" s="26" t="str">
        <x:v>Assumption</x:v>
      </x:c>
      <x:c r="C7" s="26" t="str">
        <x:v>R0</x:v>
      </x:c>
      <x:c r="D7" s="26" t="str">
        <x:v>SQLCipher/SQLite works with FTS5, WAL concurrency, backup, migration, and crash recovery in the target runtime.</x:v>
      </x:c>
      <x:c r="E7" s="26" t="str">
        <x:v>Technical Architect</x:v>
      </x:c>
      <x:c r="F7" s="26" t="str">
        <x:v>R0</x:v>
      </x:c>
      <x:c r="G7" s="26" t="str">
        <x:v>Execute target proof; select PostgreSQL only if documented gates fail.</x:v>
      </x:c>
      <x:c r="H7" s="26" t="str">
        <x:v>Open</x:v>
      </x:c>
    </x:row>
    <x:row r="8" ht="56" customHeight="1">
      <x:c r="A8" s="26" t="str">
        <x:v>RAID-003</x:v>
      </x:c>
      <x:c r="B8" s="26" t="str">
        <x:v>Dependency</x:v>
      </x:c>
      <x:c r="C8" s="26" t="str">
        <x:v>R0</x:v>
      </x:c>
      <x:c r="D8" s="26" t="str">
        <x:v>Human and callback routing require approved Cloudflare configuration.</x:v>
      </x:c>
      <x:c r="E8" s="26" t="str">
        <x:v>Technical Architect / Owner</x:v>
      </x:c>
      <x:c r="F8" s="26" t="str">
        <x:v>R0 deploy</x:v>
      </x:c>
      <x:c r="G8" s="26" t="str">
        <x:v>Prepare sanitized plan; make provider mutations only in the scoped execution step.</x:v>
      </x:c>
      <x:c r="H8" s="26" t="str">
        <x:v>Open</x:v>
      </x:c>
    </x:row>
    <x:row r="9" ht="56" customHeight="1">
      <x:c r="A9" s="26" t="str">
        <x:v>RAID-004</x:v>
      </x:c>
      <x:c r="B9" s="26" t="str">
        <x:v>Risk</x:v>
      </x:c>
      <x:c r="C9" s="26" t="str">
        <x:v>All</x:v>
      </x:c>
      <x:c r="D9" s="26" t="str">
        <x:v>A successful backup upload is mistaken for recovery evidence.</x:v>
      </x:c>
      <x:c r="E9" s="26" t="str">
        <x:v>Project Manager</x:v>
      </x:c>
      <x:c r="F9" s="26" t="str">
        <x:v>Every release</x:v>
      </x:c>
      <x:c r="G9" s="26" t="str">
        <x:v>Require executed restore for each new shape and full Recovery Ceremony at R9.</x:v>
      </x:c>
      <x:c r="H9" s="26" t="str">
        <x:v>Open</x:v>
      </x:c>
    </x:row>
    <x:row r="10" ht="56" customHeight="1">
      <x:c r="A10" s="26" t="str">
        <x:v>RAID-005</x:v>
      </x:c>
      <x:c r="B10" s="26" t="str">
        <x:v>Dependency</x:v>
      </x:c>
      <x:c r="C10" s="26" t="str">
        <x:v>R5</x:v>
      </x:c>
      <x:c r="D10" s="26" t="str">
        <x:v>VoiceNotes identity, authentication, and reconciliation behavior is partly unknown.</x:v>
      </x:c>
      <x:c r="E10" s="26" t="str">
        <x:v>Product + Architecture</x:v>
      </x:c>
      <x:c r="F10" s="26" t="str">
        <x:v>R5 entry</x:v>
      </x:c>
      <x:c r="G10" s="26" t="str">
        <x:v>Synthetic contract spike; block R5 and reopen decisions on material failure.</x:v>
      </x:c>
      <x:c r="H10" s="26" t="str">
        <x:v>Open</x:v>
      </x:c>
    </x:row>
    <x:row r="11" ht="56" customHeight="1">
      <x:c r="A11" s="26" t="str">
        <x:v>RAID-006</x:v>
      </x:c>
      <x:c r="B11" s="26" t="str">
        <x:v>Risk</x:v>
      </x:c>
      <x:c r="C11" s="26" t="str">
        <x:v>R2/R6/R7</x:v>
      </x:c>
      <x:c r="D11" s="26" t="str">
        <x:v>Real photos or derived photo data reach AI.</x:v>
      </x:c>
      <x:c r="E11" s="26" t="str">
        <x:v>Architecture + QA</x:v>
      </x:c>
      <x:c r="F11" s="26" t="str">
        <x:v>R2, R6, R7</x:v>
      </x:c>
      <x:c r="G11" s="26" t="str">
        <x:v>Typed allowlists, structural no-photo tests, sanitized evidence, release block on leakage.</x:v>
      </x:c>
      <x:c r="H11" s="26" t="str">
        <x:v>Open</x:v>
      </x:c>
    </x:row>
    <x:row r="12" ht="56" customHeight="1">
      <x:c r="A12" s="26" t="str">
        <x:v>RAID-007</x:v>
      </x:c>
      <x:c r="B12" s="26" t="str">
        <x:v>Risk</x:v>
      </x:c>
      <x:c r="C12" s="26" t="str">
        <x:v>All</x:v>
      </x:c>
      <x:c r="D12" s="26" t="str">
        <x:v>Proposed dates become commitments and weaken gates.</x:v>
      </x:c>
      <x:c r="E12" s="26" t="str">
        <x:v>Project Manager</x:v>
      </x:c>
      <x:c r="F12" s="26" t="str">
        <x:v>Weekly</x:v>
      </x:c>
      <x:c r="G12" s="26" t="str">
        <x:v>Move dates before weakening privacy, recovery, accessibility, or evidence gates.</x:v>
      </x:c>
      <x:c r="H12" s="26" t="str">
        <x:v>Open</x:v>
      </x:c>
    </x:row>
    <x:row r="13" ht="56" customHeight="1">
      <x:c r="A13" s="26" t="str">
        <x:v>RAID-008</x:v>
      </x:c>
      <x:c r="B13" s="26" t="str">
        <x:v>Risk</x:v>
      </x:c>
      <x:c r="C13" s="26" t="str">
        <x:v>R2/R8</x:v>
      </x:c>
      <x:c r="D13" s="26" t="str">
        <x:v>Small-host image work exhausts memory or disk.</x:v>
      </x:c>
      <x:c r="E13" s="26" t="str">
        <x:v>Technical Architect</x:v>
      </x:c>
      <x:c r="F13" s="26" t="str">
        <x:v>R2 and R8</x:v>
      </x:c>
      <x:c r="G13" s="26" t="str">
        <x:v>Bounded staging/decoder, one heavy job, watermarks, backpressure, and fault tests.</x:v>
      </x:c>
      <x:c r="H13" s="26" t="str">
        <x:v>Open</x:v>
      </x:c>
    </x:row>
    <x:row r="14" ht="56" customHeight="1">
      <x:c r="A14" s="26" t="str">
        <x:v>RAID-009</x:v>
      </x:c>
      <x:c r="B14" s="26" t="str">
        <x:v>Risk</x:v>
      </x:c>
      <x:c r="C14" s="26" t="str">
        <x:v>R6/R7</x:v>
      </x:c>
      <x:c r="D14" s="26" t="str">
        <x:v>AI output is mistaken for authentic source truth.</x:v>
      </x:c>
      <x:c r="E14" s="26" t="str">
        <x:v>Product + Design + QA</x:v>
      </x:c>
      <x:c r="F14" s="26" t="str">
        <x:v>R6 and R7</x:v>
      </x:c>
      <x:c r="G14" s="26" t="str">
        <x:v>Separate records, persistent labels, provenance, protected fields, and owner acceptance.</x:v>
      </x:c>
      <x:c r="H14" s="26" t="str">
        <x:v>Open</x:v>
      </x:c>
    </x:row>
    <x:row r="15" ht="56" customHeight="1">
      <x:c r="A15" s="26" t="str">
        <x:v>RAID-010</x:v>
      </x:c>
      <x:c r="B15" s="26" t="str">
        <x:v>Risk</x:v>
      </x:c>
      <x:c r="C15" s="26" t="str">
        <x:v>R10</x:v>
      </x:c>
      <x:c r="D15" s="26" t="str">
        <x:v>Object-store transition starts without a measured need or recovery proof.</x:v>
      </x:c>
      <x:c r="E15" s="26" t="str">
        <x:v>Project Manager</x:v>
      </x:c>
      <x:c r="F15" s="26" t="str">
        <x:v>R10</x:v>
      </x:c>
      <x:c r="G15" s="26" t="str">
        <x:v>Keep dates blank; require trigger, inventory, dual-write, restore, observation, and rollback.</x:v>
      </x:c>
      <x:c r="H15" s="26" t="str">
        <x:v>Open</x:v>
      </x:c>
    </x:row>
    <x:row r="18">
      <x:c r="A18" s="29" t="str">
        <x:v>Milestone entry and exit gates</x:v>
      </x:c>
      <x:c r="B18" s="29" t="str">
        <x:v>Milestone entry and exit gates</x:v>
      </x:c>
      <x:c r="C18" s="29" t="str">
        <x:v>Milestone entry and exit gates</x:v>
      </x:c>
      <x:c r="D18" s="29" t="str">
        <x:v>Milestone entry and exit gates</x:v>
      </x:c>
      <x:c r="E18" s="29" t="str">
        <x:v>Milestone entry and exit gates</x:v>
      </x:c>
      <x:c r="F18" s="29" t="str">
        <x:v>Milestone entry and exit gates</x:v>
      </x:c>
      <x:c r="G18" s="29" t="str">
        <x:v>Milestone entry and exit gates</x:v>
      </x:c>
      <x:c r="H18" s="29" t="str">
        <x:v>Milestone entry and exit gates</x:v>
      </x:c>
    </x:row>
    <x:row r="19" ht="30" customHeight="1">
      <x:c r="A19" s="22" t="str">
        <x:v>Milestone</x:v>
      </x:c>
      <x:c r="B19" s="22" t="str">
        <x:v>Release</x:v>
      </x:c>
      <x:c r="C19" s="22" t="str">
        <x:v>Start</x:v>
      </x:c>
      <x:c r="D19" s="22" t="str">
        <x:v>Target</x:v>
      </x:c>
      <x:c r="E19" s="22" t="str">
        <x:v>Entry dependency</x:v>
      </x:c>
      <x:c r="F19" s="22" t="str">
        <x:v>Exit evidence</x:v>
      </x:c>
      <x:c r="G19" s="22" t="str">
        <x:v>Rollback/restore rule</x:v>
      </x:c>
      <x:c r="H19" s="22" t="str">
        <x:v>Decision state</x:v>
      </x:c>
    </x:row>
    <x:row r="20" ht="70" customHeight="1">
      <x:c r="A20" s="26" t="str">
        <x:v>P0</x:v>
      </x:c>
      <x:c r="B20" s="26" t="str">
        <x:v>Council Planning Baseline</x:v>
      </x:c>
      <x:c r="C20" s="31" t="n">
        <x:v>46248</x:v>
      </x:c>
      <x:c r="D20" s="31" t="n">
        <x:v>46250</x:v>
      </x:c>
      <x:c r="E20" s="26" t="str">
        <x:v>None</x:v>
      </x:c>
      <x:c r="F20" s="26" t="str">
        <x:v>Council reviews, source hashes, requirement coverage, workbook, and GitHub roadmap agree.</x:v>
      </x:c>
      <x:c r="G20" s="26" t="str">
        <x:v>Planning evidence only; no production mutation.</x:v>
      </x:c>
      <x:c r="H20" s="26" t="str">
        <x:v>Planned; evidence-gated</x:v>
      </x:c>
    </x:row>
    <x:row r="21" ht="70" customHeight="1">
      <x:c r="A21" s="26" t="str">
        <x:v>R0</x:v>
      </x:c>
      <x:c r="B21" s="26" t="str">
        <x:v>Shared-Host Private Foundation</x:v>
      </x:c>
      <x:c r="C21" s="31" t="n">
        <x:v>46251</x:v>
      </x:c>
      <x:c r="D21" s="31" t="n">
        <x:v>46262</x:v>
      </x:c>
      <x:c r="E21" s="26" t="str">
        <x:v>P0 accepted</x:v>
      </x:c>
      <x:c r="F21" s="26" t="str">
        <x:v>Owner access/denial, sanitized capacity and non-regression evidence, encrypted synthetic restore, and rollback proof.</x:v>
      </x:c>
      <x:c r="G21" s="26" t="str">
        <x:v>Restore every new persistent shape and prove reversible rollback before acceptance.</x:v>
      </x:c>
      <x:c r="H21" s="26" t="str">
        <x:v>Planned; evidence-gated</x:v>
      </x:c>
    </x:row>
    <x:row r="22" ht="70" customHeight="1">
      <x:c r="A22" s="26" t="str">
        <x:v>R1</x:v>
      </x:c>
      <x:c r="B22" s="26" t="str">
        <x:v>Manual Journal Archive</x:v>
      </x:c>
      <x:c r="C22" s="31" t="n">
        <x:v>46265</x:v>
      </x:c>
      <x:c r="D22" s="31" t="n">
        <x:v>46283</x:v>
      </x:c>
      <x:c r="E22" s="26" t="str">
        <x:v>R0 accepted</x:v>
      </x:c>
      <x:c r="F22" s="26" t="str">
        <x:v>An owner-approved text fixture survives ingestion, restart, backup, restore, and export/checksum validation.</x:v>
      </x:c>
      <x:c r="G22" s="26" t="str">
        <x:v>Restore every new persistent shape and prove reversible rollback before acceptance.</x:v>
      </x:c>
      <x:c r="H22" s="26" t="str">
        <x:v>Planned; evidence-gated</x:v>
      </x:c>
    </x:row>
    <x:row r="23" ht="70" customHeight="1">
      <x:c r="A23" s="26" t="str">
        <x:v>R2</x:v>
      </x:c>
      <x:c r="B23" s="26" t="str">
        <x:v>Telegram Photo Capture</x:v>
      </x:c>
      <x:c r="C23" s="31" t="n">
        <x:v>46286</x:v>
      </x:c>
      <x:c r="D23" s="31" t="n">
        <x:v>46304</x:v>
      </x:c>
      <x:c r="E23" s="26" t="str">
        <x:v>R1 accepted</x:v>
      </x:c>
      <x:c r="F23" s="26" t="str">
        <x:v>Authorization, invalid media/date, album, duplicate, cover, Original, privacy, backup, and restore fixtures pass.</x:v>
      </x:c>
      <x:c r="G23" s="26" t="str">
        <x:v>Restore every new persistent shape and prove reversible rollback before acceptance.</x:v>
      </x:c>
      <x:c r="H23" s="26" t="str">
        <x:v>Planned; evidence-gated</x:v>
      </x:c>
    </x:row>
    <x:row r="24" ht="70" customHeight="1">
      <x:c r="A24" s="26" t="str">
        <x:v>R3</x:v>
      </x:c>
      <x:c r="B24" s="26" t="str">
        <x:v>Retrieval and Date Integrity</x:v>
      </x:c>
      <x:c r="C24" s="31" t="n">
        <x:v>46307</x:v>
      </x:c>
      <x:c r="D24" s="31" t="n">
        <x:v>46325</x:v>
      </x:c>
      <x:c r="E24" s="26" t="str">
        <x:v>R2 accepted</x:v>
      </x:c>
      <x:c r="F24" s="26" t="str">
        <x:v>Known queries work without leakage and a redated item updates both days and restored indexes atomically.</x:v>
      </x:c>
      <x:c r="G24" s="26" t="str">
        <x:v>Restore every new persistent shape and prove reversible rollback before acceptance.</x:v>
      </x:c>
      <x:c r="H24" s="26" t="str">
        <x:v>Planned; evidence-gated</x:v>
      </x:c>
    </x:row>
    <x:row r="25" ht="70" customHeight="1">
      <x:c r="A25" s="26" t="str">
        <x:v>R4</x:v>
      </x:c>
      <x:c r="B25" s="26" t="str">
        <x:v>Source History and Lifecycle Safety</x:v>
      </x:c>
      <x:c r="C25" s="31" t="n">
        <x:v>46328</x:v>
      </x:c>
      <x:c r="D25" s="31" t="n">
        <x:v>46346</x:v>
      </x:c>
      <x:c r="E25" s="26" t="str">
        <x:v>R3 accepted</x:v>
      </x:c>
      <x:c r="F25" s="26" t="str">
        <x:v>Three conflict outcomes and delete/restore/export/import invariants pass across every existing data shape.</x:v>
      </x:c>
      <x:c r="G25" s="26" t="str">
        <x:v>Restore every new persistent shape and prove reversible rollback before acceptance.</x:v>
      </x:c>
      <x:c r="H25" s="26" t="str">
        <x:v>Planned; evidence-gated</x:v>
      </x:c>
    </x:row>
    <x:row r="26" ht="70" customHeight="1">
      <x:c r="A26" s="26" t="str">
        <x:v>R5</x:v>
      </x:c>
      <x:c r="B26" s="26" t="str">
        <x:v>Prospective VoiceNotes Sync</x:v>
      </x:c>
      <x:c r="C26" s="31" t="n">
        <x:v>46349</x:v>
      </x:c>
      <x:c r="D26" s="31" t="n">
        <x:v>46367</x:v>
      </x:c>
      <x:c r="E26" s="26" t="str">
        <x:v>R4 accepted and VoiceNotes synthetic contract spike passes</x:v>
      </x:c>
      <x:c r="F26" s="26" t="str">
        <x:v>Synthetic contract, activation, eligibility, dating, replay, suppression, upstream revision, and restore gates pass.</x:v>
      </x:c>
      <x:c r="G26" s="26" t="str">
        <x:v>Restore every new persistent shape and prove reversible rollback before acceptance.</x:v>
      </x:c>
      <x:c r="H26" s="26" t="str">
        <x:v>Planned; evidence-gated</x:v>
      </x:c>
    </x:row>
    <x:row r="27" ht="70" customHeight="1">
      <x:c r="A27" s="26" t="str">
        <x:v>R6</x:v>
      </x:c>
      <x:c r="B27" s="26" t="str">
        <x:v>Generated Text Reflection</x:v>
      </x:c>
      <x:c r="C27" s="31" t="n">
        <x:v>46370</x:v>
      </x:c>
      <x:c r="D27" s="31" t="n">
        <x:v>46395</x:v>
      </x:c>
      <x:c r="E27" s="26" t="str">
        <x:v>R5 accepted and text-model evaluation passes</x:v>
      </x:c>
      <x:c r="F27" s="26" t="str">
        <x:v>Evaluation, typed privacy allowlist, field protection, source-race, failure, spend, and restore gates pass.</x:v>
      </x:c>
      <x:c r="G27" s="26" t="str">
        <x:v>Restore every new persistent shape and prove reversible rollback before acceptance.</x:v>
      </x:c>
      <x:c r="H27" s="26" t="str">
        <x:v>Planned; evidence-gated</x:v>
      </x:c>
    </x:row>
    <x:row r="28" ht="70" customHeight="1">
      <x:c r="A28" s="26" t="str">
        <x:v>R7</x:v>
      </x:c>
      <x:c r="B28" s="26" t="str">
        <x:v>Generated Artwork</x:v>
      </x:c>
      <x:c r="C28" s="31" t="n">
        <x:v>46398</x:v>
      </x:c>
      <x:c r="D28" s="31" t="n">
        <x:v>46416</x:v>
      </x:c>
      <x:c r="E28" s="26" t="str">
        <x:v>R6 accepted and artwork-model evaluation passes</x:v>
      </x:c>
      <x:c r="F28" s="26" t="str">
        <x:v>Evaluation, safety, cost, lifecycle, labeling, privacy, cover, and restore gates pass.</x:v>
      </x:c>
      <x:c r="G28" s="26" t="str">
        <x:v>Restore every new persistent shape and prove reversible rollback before acceptance.</x:v>
      </x:c>
      <x:c r="H28" s="26" t="str">
        <x:v>Planned; evidence-gated</x:v>
      </x:c>
    </x:row>
    <x:row r="29" ht="70" customHeight="1">
      <x:c r="A29" s="26" t="str">
        <x:v>R8</x:v>
      </x:c>
      <x:c r="B29" s="26" t="str">
        <x:v>Operational Scale and Resilience</x:v>
      </x:c>
      <x:c r="C29" s="31" t="n">
        <x:v>46419</x:v>
      </x:c>
      <x:c r="D29" s="31" t="n">
        <x:v>46437</x:v>
      </x:c>
      <x:c r="E29" s="26" t="str">
        <x:v>R0 through R7 accepted</x:v>
      </x:c>
      <x:c r="F29" s="26" t="str">
        <x:v>Watermark, restart, alert, fault, backup/restore, security, browser, and accessibility evidence passes.</x:v>
      </x:c>
      <x:c r="G29" s="26" t="str">
        <x:v>Restore every new persistent shape and prove reversible rollback before acceptance.</x:v>
      </x:c>
      <x:c r="H29" s="26" t="str">
        <x:v>Planned; evidence-gated</x:v>
      </x:c>
    </x:row>
    <x:row r="30" ht="70" customHeight="1">
      <x:c r="A30" s="26" t="str">
        <x:v>R9</x:v>
      </x:c>
      <x:c r="B30" s="26" t="str">
        <x:v>Private Launch Acceptance and Stabilization</x:v>
      </x:c>
      <x:c r="C30" s="31" t="n">
        <x:v>46440</x:v>
      </x:c>
      <x:c r="D30" s="31" t="n">
        <x:v>46458</x:v>
      </x:c>
      <x:c r="E30" s="26" t="str">
        <x:v>R8 accepted and explicit launch authority</x:v>
      </x:c>
      <x:c r="F30" s="26" t="str">
        <x:v>Owner UAT, Recovery Ceremony, observation window, severity gate, and go/no-go or rollback record pass.</x:v>
      </x:c>
      <x:c r="G30" s="26" t="str">
        <x:v>Restore every new persistent shape and prove reversible rollback before acceptance.</x:v>
      </x:c>
      <x:c r="H30" s="26" t="str">
        <x:v>Planned; evidence-gated</x:v>
      </x:c>
    </x:row>
    <x:row r="31" ht="70" customHeight="1">
      <x:c r="A31" s="26" t="str">
        <x:v>R10</x:v>
      </x:c>
      <x:c r="B31" s="26" t="str">
        <x:v>Conditional Object-store Transition</x:v>
      </x:c>
      <x:c r="C31" s="31"/>
      <x:c r="D31" s="31"/>
      <x:c r="E31" s="26" t="str">
        <x:v>Measured storage trigger; no calendar commitment</x:v>
      </x:c>
      <x:c r="F31" s="26" t="str">
        <x:v>Trigger, inventory, dual-write, reconciliation, restore, observed reads, cutover, and rollback gates pass.</x:v>
      </x:c>
      <x:c r="G31" s="26" t="str">
        <x:v>Restore every new persistent shape and prove reversible rollback before acceptance.</x:v>
      </x:c>
      <x:c r="H31" s="26" t="str">
        <x:v>Trigger not approved; dates blank</x:v>
      </x:c>
    </x:row>
  </x:sheetData>
  <x:mergeCells>
    <x:mergeCell ref="A1:H2"/>
    <x:mergeCell ref="A3:H3"/>
    <x:mergeCell ref="A18:H18"/>
  </x:mergeCells>
  <x:conditionalFormatting sqref="B6:B15">
    <x:cfRule type="containsText" dxfId="17" priority="1" operator="containsText" text="Risk"/>
    <x:cfRule type="containsText" dxfId="18" priority="2" operator="containsText" text="Assumption"/>
    <x:cfRule type="containsText" dxfId="19" priority="3" operator="containsText" text="Dependency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2" hidden="0" customWidth="1"/>
    <x:col min="3" max="3" width="58" hidden="0" customWidth="1"/>
  </x:cols>
  <x:sheetData>
    <x:row r="1" ht="28" customHeight="1">
      <x:c r="A1" s="5" t="str">
        <x:v>Workbook Review Guide and Evidence Boundary</x:v>
      </x:c>
      <x:c r="B1" s="5" t="str">
        <x:v>Workbook Review Guide and Evidence Boundary</x:v>
      </x:c>
      <x:c r="C1" s="5" t="str">
        <x:v>Workbook Review Guide and Evidence Boundary</x:v>
      </x:c>
      <x:c r="D1" s="5" t="str">
        <x:v>Workbook Review Guide and Evidence Boundary</x:v>
      </x:c>
      <x:c r="E1" s="5" t="str">
        <x:v>Workbook Review Guide and Evidence Boundary</x:v>
      </x:c>
      <x:c r="F1" s="5" t="str">
        <x:v>Workbook Review Guide and Evidence Boundary</x:v>
      </x:c>
      <x:c r="G1" s="5" t="str">
        <x:v>Workbook Review Guide and Evidence Boundary</x:v>
      </x:c>
      <x:c r="H1" s="5" t="str">
        <x:v>Workbook Review Guide and Evidence Boundary</x:v>
      </x:c>
    </x:row>
    <x:row r="2" ht="28" customHeight="1">
      <x:c r="A2" s="5" t="str">
        <x:v>Workbook Review Guide and Evidence Boundary</x:v>
      </x:c>
      <x:c r="B2" s="5" t="str">
        <x:v>Workbook Review Guide and Evidence Boundary</x:v>
      </x:c>
      <x:c r="C2" s="5" t="str">
        <x:v>Workbook Review Guide and Evidence Boundary</x:v>
      </x:c>
      <x:c r="D2" s="5" t="str">
        <x:v>Workbook Review Guide and Evidence Boundary</x:v>
      </x:c>
      <x:c r="E2" s="5" t="str">
        <x:v>Workbook Review Guide and Evidence Boundary</x:v>
      </x:c>
      <x:c r="F2" s="5" t="str">
        <x:v>Workbook Review Guide and Evidence Boundary</x:v>
      </x:c>
      <x:c r="G2" s="5" t="str">
        <x:v>Workbook Review Guide and Evidence Boundary</x:v>
      </x:c>
      <x:c r="H2" s="5" t="str">
        <x:v>Workbook Review Guide and Evidence Boundary</x:v>
      </x:c>
    </x:row>
    <x:row r="3" ht="34" customHeight="1">
      <x:c r="A3" s="14" t="str">
        <x:v>Use this workbook to review the plan; use the JSON manifest as the edit source. Reconcile any approved change to Markdown, GitHub issues, and the live Project.</x:v>
      </x:c>
      <x:c r="B3" s="15" t="str">
        <x:v>Use this workbook to review the plan; use the JSON manifest as the edit source. Reconcile any approved change to Markdown, GitHub issues, and the live Project.</x:v>
      </x:c>
      <x:c r="C3" s="15" t="str">
        <x:v>Use this workbook to review the plan; use the JSON manifest as the edit source. Reconcile any approved change to Markdown, GitHub issues, and the live Project.</x:v>
      </x:c>
      <x:c r="D3" s="15" t="str">
        <x:v>Use this workbook to review the plan; use the JSON manifest as the edit source. Reconcile any approved change to Markdown, GitHub issues, and the live Project.</x:v>
      </x:c>
      <x:c r="E3" s="15" t="str">
        <x:v>Use this workbook to review the plan; use the JSON manifest as the edit source. Reconcile any approved change to Markdown, GitHub issues, and the live Project.</x:v>
      </x:c>
      <x:c r="F3" s="15" t="str">
        <x:v>Use this workbook to review the plan; use the JSON manifest as the edit source. Reconcile any approved change to Markdown, GitHub issues, and the live Project.</x:v>
      </x:c>
      <x:c r="G3" s="15" t="str">
        <x:v>Use this workbook to review the plan; use the JSON manifest as the edit source. Reconcile any approved change to Markdown, GitHub issues, and the live Project.</x:v>
      </x:c>
      <x:c r="H3" s="16" t="str">
        <x:v>Use this workbook to review the plan; use the JSON manifest as the edit source. Reconcile any approved change to Markdown, GitHub issues, and the live Project.</x:v>
      </x:c>
    </x:row>
    <x:row r="5" ht="30" customHeight="1">
      <x:c r="A5" s="22" t="str">
        <x:v>Topic</x:v>
      </x:c>
      <x:c r="B5" s="22" t="str">
        <x:v>Decision / instruction</x:v>
      </x:c>
      <x:c r="C5" s="22" t="str">
        <x:v>Reviewer note</x:v>
      </x:c>
    </x:row>
    <x:row r="6" ht="54" customHeight="1">
      <x:c r="A6" s="37" t="str">
        <x:v>Purpose</x:v>
      </x:c>
      <x:c r="B6" s="26" t="str">
        <x:v>Detailed reviewable Phase 1 release plan for a single-user private archive.</x:v>
      </x:c>
      <x:c r="C6" s="26" t="str">
        <x:v>Owner: Project Manager</x:v>
      </x:c>
    </x:row>
    <x:row r="7" ht="54" customHeight="1">
      <x:c r="A7" s="37" t="str">
        <x:v>Canonical source</x:v>
      </x:c>
      <x:c r="B7" s="26" t="str">
        <x:v>docs/project/PHASE1-ROADMAP-MANIFEST.json</x:v>
      </x:c>
      <x:c r="C7" s="26" t="str">
        <x:v>Do not use a workbook-only edit as a planning decision.</x:v>
      </x:c>
    </x:row>
    <x:row r="8" ht="54" customHeight="1">
      <x:c r="A8" s="37" t="str">
        <x:v>Governing product</x:v>
      </x:c>
      <x:c r="B8" s="26" t="str">
        <x:v>docs/product/PRODUCT-REQUIREMENTS.md</x:v>
      </x:c>
      <x:c r="C8" s="26" t="str">
        <x:v>78 stable requirement IDs.</x:v>
      </x:c>
    </x:row>
    <x:row r="9" ht="54" customHeight="1">
      <x:c r="A9" s="37" t="str">
        <x:v>Governing design</x:v>
      </x:c>
      <x:c r="B9" s="26" t="str">
        <x:v>docs/design/UX-SPECIFICATION.md</x:v>
      </x:c>
      <x:c r="C9" s="26" t="str">
        <x:v>Prototype v5 is interaction intent only.</x:v>
      </x:c>
    </x:row>
    <x:row r="10" ht="54" customHeight="1">
      <x:c r="A10" s="37" t="str">
        <x:v>Implementation plan</x:v>
      </x:c>
      <x:c r="B10" s="26" t="str">
        <x:v>docs/architecture/PHASE1-IMPLEMENTATION-PLAN.md</x:v>
      </x:c>
      <x:c r="C10" s="26" t="str">
        <x:v>Detailed technical sequence, architecture, security, recovery, and task contracts.</x:v>
      </x:c>
    </x:row>
    <x:row r="11" ht="54" customHeight="1">
      <x:c r="A11" s="37" t="str">
        <x:v>Deployment spike</x:v>
      </x:c>
      <x:c r="B11" s="26" t="str">
        <x:v>docs/research/HETZNER-SHARED-HOST-DEPLOYMENT-SPIKE.md</x:v>
      </x:c>
      <x:c r="C11" s="26" t="str">
        <x:v>Live host capacity/readiness remains unverified until sanitized evidence exists.</x:v>
      </x:c>
    </x:row>
    <x:row r="12" ht="54" customHeight="1">
      <x:c r="A12" s="37" t="str">
        <x:v>Roadmap</x:v>
      </x:c>
      <x:c r="B12" s="26" t="str">
        <x:v>https://github.com/users/arunpr614/projects/1</x:v>
      </x:c>
      <x:c r="C12" s="26" t="str">
        <x:v>Four lanes: Backlog, Next, In progress, Done.</x:v>
      </x:c>
    </x:row>
    <x:row r="13" ht="54" customHeight="1">
      <x:c r="A13" s="37" t="str">
        <x:v>Date semantics</x:v>
      </x:c>
      <x:c r="B13" s="26" t="str">
        <x:v>Start/Target are proposed estimates in Asia/Kolkata.</x:v>
      </x:c>
      <x:c r="C13" s="26" t="str">
        <x:v>Evidence gates move dates; dates never weaken gates.</x:v>
      </x:c>
    </x:row>
    <x:row r="14" ht="54" customHeight="1">
      <x:c r="A14" s="37" t="str">
        <x:v>R0</x:v>
      </x:c>
      <x:c r="B14" s="26" t="str">
        <x:v>Synthetic fixtures only.</x:v>
      </x:c>
      <x:c r="C14" s="26" t="str">
        <x:v>No authentic memory may enter before R0 restore/rollback/privacy proof.</x:v>
      </x:c>
    </x:row>
    <x:row r="15" ht="54" customHeight="1">
      <x:c r="A15" s="37" t="str">
        <x:v>R1</x:v>
      </x:c>
      <x:c r="B15" s="26" t="str">
        <x:v>First authentic-memory release.</x:v>
      </x:c>
      <x:c r="C15" s="26" t="str">
        <x:v>Use only an owner-approved fixture after R0 acceptance.</x:v>
      </x:c>
    </x:row>
    <x:row r="16" ht="54" customHeight="1">
      <x:c r="A16" s="37" t="str">
        <x:v>R10</x:v>
      </x:c>
      <x:c r="B16" s="26" t="str">
        <x:v>Start/Target intentionally blank.</x:v>
      </x:c>
      <x:c r="C16" s="26" t="str">
        <x:v>Populate only after measured watermark trigger approval.</x:v>
      </x:c>
    </x:row>
    <x:row r="17" ht="54" customHeight="1">
      <x:c r="A17" s="37" t="str">
        <x:v>Done — planning</x:v>
      </x:c>
      <x:c r="B17" s="26" t="str">
        <x:v>Named planning artifact exists and validates.</x:v>
      </x:c>
      <x:c r="C17" s="26" t="str">
        <x:v>Does not imply implementation, testing, deployment, production, or release acceptance.</x:v>
      </x:c>
    </x:row>
    <x:row r="18" ht="54" customHeight="1">
      <x:c r="A18" s="37" t="str">
        <x:v>Done — delivery</x:v>
      </x:c>
      <x:c r="B18" s="26" t="str">
        <x:v>Behavior works in the named environment with linked tests, migration, restore, rollback, and approvals.</x:v>
      </x:c>
      <x:c r="C18" s="26" t="str">
        <x:v>Code, CI, deploy, or backup upload alone is insufficient.</x:v>
      </x:c>
    </x:row>
    <x:row r="19" ht="54" customHeight="1">
      <x:c r="A19" s="37" t="str">
        <x:v>Privacy</x:v>
      </x:c>
      <x:c r="B19" s="26" t="str">
        <x:v>No personal content, prompts, tokens, credentials, private account IDs, or unsanitized infrastructure evidence in public artifacts.</x:v>
      </x:c>
      <x:c r="C19" s="26" t="str">
        <x:v>Real-photo data is structurally excluded from all AI requests.</x:v>
      </x:c>
    </x:row>
    <x:row r="20" ht="54" customHeight="1">
      <x:c r="A20" s="37" t="str">
        <x:v>Recovery</x:v>
      </x:c>
      <x:c r="B20" s="26" t="str">
        <x:v>Every release restores each new persistent data shape.</x:v>
      </x:c>
      <x:c r="C20" s="26" t="str">
        <x:v>Backup success is not restore evidence.</x:v>
      </x:c>
    </x:row>
    <x:row r="21" ht="54" customHeight="1">
      <x:c r="A21" s="37" t="str">
        <x:v>Workbook sheets</x:v>
      </x:c>
      <x:c r="B21" s="26" t="str">
        <x:v>Executive Summary; Release Plan; Roadmap Tasks; Roadmap Timeline; Requirement Map; Risks &amp; Gates; Review Guide.</x:v>
      </x:c>
      <x:c r="C21" s="26" t="str">
        <x:v>Filters, validations, formulas, conditional formatting, and charts support review.</x:v>
      </x:c>
    </x:row>
  </x:sheetData>
  <x:mergeCells>
    <x:mergeCell ref="A1:H2"/>
    <x:mergeCell ref="A3:H3"/>
  </x:mergeCells>
  <x:pageMargins left="0.7" right="0.7" top="0.75" bottom="0.75" header="0.3" footer="0.3"/>
</x:worksheet>
</file>